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Launch Plan &amp; Budget" sheetId="2" state="visible" r:id="rId4"/>
    <sheet name="Campaign Structure" sheetId="3" state="visible" r:id="rId5"/>
    <sheet name="Ad Matrix" sheetId="4" state="visible" r:id="rId6"/>
    <sheet name="Copy Index" sheetId="5" state="visible" r:id="rId7"/>
    <sheet name="Headline Index" sheetId="6" state="visible" r:id="rId8"/>
    <sheet name="Kill &amp; Scale Rules" sheetId="7" state="visible" r:id="rId9"/>
    <sheet name="UTM Builde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<sst xmlns="http://schemas.openxmlformats.org/spreadsheetml/2006/main" count="480" uniqueCount="389">
  <si>
    <t xml:space="preserve">AI ADS WEBINAR  |  MEDIA BUYER AD SHEET</t>
  </si>
  <si>
    <t xml:space="preserve">Owner</t>
  </si>
  <si>
    <t xml:space="preserve">Emma Pace, SalesGenius (emma@salesgenius.co)</t>
  </si>
  <si>
    <t xml:space="preserve">Objective</t>
  </si>
  <si>
    <t xml:space="preserve">Drive registrations for the AI Ads live webinar (cold + warm, client list excluded)</t>
  </si>
  <si>
    <t xml:space="preserve">Platform</t>
  </si>
  <si>
    <t xml:space="preserve">Meta (Facebook / Instagram). v1 Meta only. Google/YouTube later.</t>
  </si>
  <si>
    <t xml:space="preserve">Total budget</t>
  </si>
  <si>
    <t xml:space="preserve">$200/day  =  $100/day Emma ad set + $100/day Ryan ad set</t>
  </si>
  <si>
    <t xml:space="preserve">Start</t>
  </si>
  <si>
    <t xml:space="preserve">Launch 10 to 14 days before the webinar date. Do NOT start 2 days out.</t>
  </si>
  <si>
    <t xml:space="preserve">Optimize for</t>
  </si>
  <si>
    <t xml:space="preserve">Lead (registration) to start. Move to Schedule once you have ~50 Leads/wk.</t>
  </si>
  <si>
    <t xml:space="preserve">Creatives</t>
  </si>
  <si>
    <t xml:space="preserve">5 Emma videos + 10 Ryan videos. Media buyer chooses which to run per ad set.</t>
  </si>
  <si>
    <t xml:space="preserve">HOW TO READ THIS BOOK</t>
  </si>
  <si>
    <t xml:space="preserve">Launch Plan &amp; Budget</t>
  </si>
  <si>
    <t xml:space="preserve">Budget model. Change the blue cells (days, CPL, show rate) to re-forecast.</t>
  </si>
  <si>
    <t xml:space="preserve">Campaign Structure</t>
  </si>
  <si>
    <t xml:space="preserve">Exactly how to build the campaign, ad sets, audiences and exclusions in Meta.</t>
  </si>
  <si>
    <t xml:space="preserve">Ad Matrix</t>
  </si>
  <si>
    <t xml:space="preserve">The build list. One row per ad. Pick a video, drop in a copy ID + headline, set UTM, launch.</t>
  </si>
  <si>
    <t xml:space="preserve">Copy Index</t>
  </si>
  <si>
    <t xml:space="preserve">Every primary-text block from the Copy Bank, with its ID and first line.</t>
  </si>
  <si>
    <t xml:space="preserve">Headline Index</t>
  </si>
  <si>
    <t xml:space="preserve">Mobile-short headlines with character counts. Rotate 2 to 3 per ad set.</t>
  </si>
  <si>
    <t xml:space="preserve">Kill &amp; Scale Rules</t>
  </si>
  <si>
    <t xml:space="preserve">The daily decision rules. When to kill, when to scale, what good looks like.</t>
  </si>
  <si>
    <t xml:space="preserve">UTM Builder</t>
  </si>
  <si>
    <t xml:space="preserve">Consistent tracking so you can read true CPL by creative.</t>
  </si>
  <si>
    <t xml:space="preserve">Full copy (long-form + short-form) lives in  ads/04-AD-COPY-BANK.md</t>
  </si>
  <si>
    <t xml:space="preserve">LAUNCH PLAN &amp; BUDGET</t>
  </si>
  <si>
    <t xml:space="preserve">INPUTS  (edit the blue cells)</t>
  </si>
  <si>
    <t xml:space="preserve">Emma ad set, daily budget ($)</t>
  </si>
  <si>
    <t xml:space="preserve">Ryan ad set, daily budget ($)</t>
  </si>
  <si>
    <t xml:space="preserve">Days running (10 to 14 recommended)</t>
  </si>
  <si>
    <t xml:space="preserve">Target CPL, low ($)</t>
  </si>
  <si>
    <t xml:space="preserve">Target CPL, mid ($)</t>
  </si>
  <si>
    <t xml:space="preserve">Target CPL, high ($)</t>
  </si>
  <si>
    <t xml:space="preserve">Show rate (attended / registered)</t>
  </si>
  <si>
    <t xml:space="preserve">BUDGET</t>
  </si>
  <si>
    <t xml:space="preserve">Total daily budget</t>
  </si>
  <si>
    <t xml:space="preserve">Total spend over run</t>
  </si>
  <si>
    <t xml:space="preserve">PROJECTED RESULTS  (spend / CPL)</t>
  </si>
  <si>
    <t xml:space="preserve">Scenario</t>
  </si>
  <si>
    <t xml:space="preserve">CPL</t>
  </si>
  <si>
    <t xml:space="preserve">Registrations</t>
  </si>
  <si>
    <t xml:space="preserve">Attendees</t>
  </si>
  <si>
    <t xml:space="preserve">Cost / attendee</t>
  </si>
  <si>
    <t xml:space="preserve">Great (low CPL)</t>
  </si>
  <si>
    <t xml:space="preserve">Expected (mid CPL)</t>
  </si>
  <si>
    <t xml:space="preserve">Tough (high CPL)</t>
  </si>
  <si>
    <t xml:space="preserve">Model conservatively. CPL is the number to watch; everything downstream flows from it.</t>
  </si>
  <si>
    <t xml:space="preserve">PHASED PACING (across the run)</t>
  </si>
  <si>
    <t xml:space="preserve">Phase</t>
  </si>
  <si>
    <t xml:space="preserve">Days</t>
  </si>
  <si>
    <t xml:space="preserve">Budget split</t>
  </si>
  <si>
    <t xml:space="preserve">Goal</t>
  </si>
  <si>
    <t xml:space="preserve">Testing</t>
  </si>
  <si>
    <t xml:space="preserve">1 to 5</t>
  </si>
  <si>
    <t xml:space="preserve">Broadest audience, all hooks live, kill fast</t>
  </si>
  <si>
    <t xml:space="preserve">Find winning hooks. Kill CPL over $20.</t>
  </si>
  <si>
    <t xml:space="preserve">Optimization</t>
  </si>
  <si>
    <t xml:space="preserve">5 to 10</t>
  </si>
  <si>
    <t xml:space="preserve">Shift budget to winning videos + copy</t>
  </si>
  <si>
    <t xml:space="preserve">Stabilize CPL into the $5 to $12 band.</t>
  </si>
  <si>
    <t xml:space="preserve">Scale</t>
  </si>
  <si>
    <t xml:space="preserve">10 to 14+</t>
  </si>
  <si>
    <t xml:space="preserve">Scale winners +20% every 48 to 72h</t>
  </si>
  <si>
    <t xml:space="preserve">Volume while holding CPL and show rate.</t>
  </si>
  <si>
    <t xml:space="preserve">CAMPAIGN STRUCTURE (build this in Meta)</t>
  </si>
  <si>
    <t xml:space="preserve">CAMPAIGN</t>
  </si>
  <si>
    <t xml:space="preserve">Leads (Sales if pixel volume is strong)</t>
  </si>
  <si>
    <t xml:space="preserve">Optimization event</t>
  </si>
  <si>
    <t xml:space="preserve">Lead (registration) to start. Schedule later, once volume allows.</t>
  </si>
  <si>
    <t xml:space="preserve">Budget type</t>
  </si>
  <si>
    <t xml:space="preserve">Ad-set level budgets (ABO), so Emma and Ryan each hold $100/day cleanly.</t>
  </si>
  <si>
    <t xml:space="preserve">Attribution</t>
  </si>
  <si>
    <t xml:space="preserve">7-day click, 1-day view (default).</t>
  </si>
  <si>
    <t xml:space="preserve">AD SETS  (2, split by talent, as Emma specified)</t>
  </si>
  <si>
    <t xml:space="preserve">Ad set</t>
  </si>
  <si>
    <t xml:space="preserve">Daily budget</t>
  </si>
  <si>
    <t xml:space="preserve">Audience</t>
  </si>
  <si>
    <t xml:space="preserve">Creatives in this ad set</t>
  </si>
  <si>
    <t xml:space="preserve">AS1  Emma Creatives</t>
  </si>
  <si>
    <t xml:space="preserve">$100/day</t>
  </si>
  <si>
    <t xml:space="preserve">Cold + warm, broad / Advantage+ Audience. Client list EXCLUDED.</t>
  </si>
  <si>
    <t xml:space="preserve">Emma's 5 videos. Rotate 3 to 5 to start.</t>
  </si>
  <si>
    <t xml:space="preserve">AS2  Ryan Creatives</t>
  </si>
  <si>
    <t xml:space="preserve">Ryan's 10 videos. Rotate 4 to 6 to start, hold the rest for refreshes.</t>
  </si>
  <si>
    <t xml:space="preserve">AUDIENCE, what to put in each ad set</t>
  </si>
  <si>
    <t xml:space="preserve">Location</t>
  </si>
  <si>
    <t xml:space="preserve">Your target market (city / region you serve).</t>
  </si>
  <si>
    <t xml:space="preserve">Age / gender</t>
  </si>
  <si>
    <t xml:space="preserve">Broad. No demographic narrowing (Fair Housing).</t>
  </si>
  <si>
    <t xml:space="preserve">Targeting</t>
  </si>
  <si>
    <t xml:space="preserve">Advantage+ Audience with a suggestion, or broad. Optional realtor interest stack as a backup tight set: real estate, Realtor.com, brokerages, Tom Ferry, Zillow.</t>
  </si>
  <si>
    <t xml:space="preserve">Placements</t>
  </si>
  <si>
    <t xml:space="preserve">Advantage+ placements (all). Provide square (1:1) and vertical (9:16) cuts.</t>
  </si>
  <si>
    <t xml:space="preserve">EXCLUSIONS, apply to BOTH ad sets (Emma's rule: exclude the client list)</t>
  </si>
  <si>
    <t xml:space="preserve">•  Client / customer list (uploaded as a Custom Audience). REQUIRED.</t>
  </si>
  <si>
    <t xml:space="preserve">•  Past webinar registrants (so you don't pay to re-register them).</t>
  </si>
  <si>
    <t xml:space="preserve">•  Existing AI Ad Machine customers.</t>
  </si>
  <si>
    <t xml:space="preserve">•  Optional for cleaner cold data: 180-day site visitors, 365-day social engagers.</t>
  </si>
  <si>
    <t xml:space="preserve">Note: Emma chose to run cold + warm together and split ad sets by talent. If the media buyer wants cleaner data, he can later split cold vs warm into separate ad sets. Keep the client-list exclusion either way.</t>
  </si>
  <si>
    <t xml:space="preserve">AD MATRIX  (the build list, one row per ad)</t>
  </si>
  <si>
    <t xml:space="preserve">DEFAULT primary text = an ALL-PURPOSE master (ALL-01/02/03), works under any video. The BODY-xx in the 'Alt Text ID' column are optional angle-matched tests. Fill 'Video' with the file the buyer picks. Put Ad Name into Meta so results read by creative + copy.</t>
  </si>
  <si>
    <t xml:space="preserve">Ad #</t>
  </si>
  <si>
    <t xml:space="preserve">Ad Set</t>
  </si>
  <si>
    <t xml:space="preserve">Video (pick)</t>
  </si>
  <si>
    <t xml:space="preserve">Primary Text ID</t>
  </si>
  <si>
    <t xml:space="preserve">Alt Text ID (test)</t>
  </si>
  <si>
    <t xml:space="preserve">Headline IDs (2-3)</t>
  </si>
  <si>
    <t xml:space="preserve">Description</t>
  </si>
  <si>
    <t xml:space="preserve">CTA button</t>
  </si>
  <si>
    <t xml:space="preserve">Ad Name (for Meta)</t>
  </si>
  <si>
    <t xml:space="preserve">A1</t>
  </si>
  <si>
    <t xml:space="preserve">AS1 Emma</t>
  </si>
  <si>
    <t xml:space="preserve">&lt;Emma demo&gt;</t>
  </si>
  <si>
    <t xml:space="preserve">ALL-01</t>
  </si>
  <si>
    <t xml:space="preserve">BODY-01 / SHORT-01</t>
  </si>
  <si>
    <t xml:space="preserve">Built In 2 Minutes / AI Builds The Ad</t>
  </si>
  <si>
    <t xml:space="preserve">Free live workshop. Your leads, your account.</t>
  </si>
  <si>
    <t xml:space="preserve">Sign Up</t>
  </si>
  <si>
    <t xml:space="preserve">AS1_Emma_2minBuild_BODY01</t>
  </si>
  <si>
    <t xml:space="preserve">A2</t>
  </si>
  <si>
    <t xml:space="preserve">&lt;Emma proof&gt;</t>
  </si>
  <si>
    <t xml:space="preserve">ALL-02</t>
  </si>
  <si>
    <t xml:space="preserve">BODY-06 / SHORT-06</t>
  </si>
  <si>
    <t xml:space="preserve">$75K To $220K GCI. Real Agent. / Get Your Own Leads</t>
  </si>
  <si>
    <t xml:space="preserve">No agency, no experience. AI does the technical part.</t>
  </si>
  <si>
    <t xml:space="preserve">AS1_Emma_ProofEric_BODY06</t>
  </si>
  <si>
    <t xml:space="preserve">A3</t>
  </si>
  <si>
    <t xml:space="preserve">&lt;Emma story&gt;</t>
  </si>
  <si>
    <t xml:space="preserve">ALL-03</t>
  </si>
  <si>
    <t xml:space="preserve">BODY-04 / SHORT-04</t>
  </si>
  <si>
    <t xml:space="preserve">$2K Agency? Not Anymore / No Agency Needed</t>
  </si>
  <si>
    <t xml:space="preserve">About 20 minutes a week. Come live for the Q&amp;A.</t>
  </si>
  <si>
    <t xml:space="preserve">Learn More</t>
  </si>
  <si>
    <t xml:space="preserve">AS1_Emma_NoAgency_BODY04</t>
  </si>
  <si>
    <t xml:space="preserve">A4</t>
  </si>
  <si>
    <t xml:space="preserve">&lt;Emma hook&gt;</t>
  </si>
  <si>
    <t xml:space="preserve">BODY-07 / SHORT-07</t>
  </si>
  <si>
    <t xml:space="preserve">Own Your Lead Flow / Your Leads, Your Account</t>
  </si>
  <si>
    <t xml:space="preserve">Stop renting leads. Own them.</t>
  </si>
  <si>
    <t xml:space="preserve">AS1_Emma_OwnLeads_BODY07</t>
  </si>
  <si>
    <t xml:space="preserve">A5</t>
  </si>
  <si>
    <t xml:space="preserve">&lt;Emma invite&gt;</t>
  </si>
  <si>
    <t xml:space="preserve">BODY-08 / SHORT-08</t>
  </si>
  <si>
    <t xml:space="preserve">Free Live Workshop / Save Your Free Seat</t>
  </si>
  <si>
    <t xml:space="preserve">Seats limited so we can keep the Q&amp;A live.</t>
  </si>
  <si>
    <t xml:space="preserve">Register</t>
  </si>
  <si>
    <t xml:space="preserve">AS1_Emma_Invite_BODY08</t>
  </si>
  <si>
    <t xml:space="preserve">A6</t>
  </si>
  <si>
    <t xml:space="preserve">AS2 Ryan</t>
  </si>
  <si>
    <t xml:space="preserve">&lt;Ryan hook&gt;</t>
  </si>
  <si>
    <t xml:space="preserve">BODY-02 / SHORT-02</t>
  </si>
  <si>
    <t xml:space="preserve">Stop Boosting Posts / Leads That Actually Call</t>
  </si>
  <si>
    <t xml:space="preserve">Free live workshop for realtors.</t>
  </si>
  <si>
    <t xml:space="preserve">AS2_Ryan_StopBoost_BODY02</t>
  </si>
  <si>
    <t xml:space="preserve">A7</t>
  </si>
  <si>
    <t xml:space="preserve">BODY-03 / SHORT-03</t>
  </si>
  <si>
    <t xml:space="preserve">It Wasn't You / Get Leads Without Being Techy</t>
  </si>
  <si>
    <t xml:space="preserve">AS2_Ryan_WasntYou_BODY03</t>
  </si>
  <si>
    <t xml:space="preserve">A8</t>
  </si>
  <si>
    <t xml:space="preserve">&lt;Ryan demo&gt;</t>
  </si>
  <si>
    <t xml:space="preserve">Watch It Build / Run Your Own Ads</t>
  </si>
  <si>
    <t xml:space="preserve">See a real ad built with AI, start to finish.</t>
  </si>
  <si>
    <t xml:space="preserve">AS2_Ryan_WatchBuild_BODY01</t>
  </si>
  <si>
    <t xml:space="preserve">A9</t>
  </si>
  <si>
    <t xml:space="preserve">BODY-05 / SHORT-05</t>
  </si>
  <si>
    <t xml:space="preserve">Leads That Actually Call / Speed Wins</t>
  </si>
  <si>
    <t xml:space="preserve">Your leads, your account, your terms.</t>
  </si>
  <si>
    <t xml:space="preserve">AS2_Ryan_SpeedToLead_BODY05</t>
  </si>
  <si>
    <t xml:space="preserve">A10</t>
  </si>
  <si>
    <t xml:space="preserve">BODY-07 / SHORT-10</t>
  </si>
  <si>
    <t xml:space="preserve">Two Kinds Of Realtors / Own Your Lead Flow</t>
  </si>
  <si>
    <t xml:space="preserve">Turn your leads on like a tap.</t>
  </si>
  <si>
    <t xml:space="preserve">AS2_Ryan_TwoKinds_BODY07</t>
  </si>
  <si>
    <t xml:space="preserve">A11</t>
  </si>
  <si>
    <t xml:space="preserve">&lt;Ryan invite&gt;</t>
  </si>
  <si>
    <t xml:space="preserve">BODY-08 / SHORT-09</t>
  </si>
  <si>
    <t xml:space="preserve">Free Live Workshop / Register Free</t>
  </si>
  <si>
    <t xml:space="preserve">No agency, about 20 minutes a week.</t>
  </si>
  <si>
    <t xml:space="preserve">AS2_Ryan_Invite_BODY08</t>
  </si>
  <si>
    <t xml:space="preserve">A12</t>
  </si>
  <si>
    <t xml:space="preserve">No Agency Needed / $2K Agency? Not Anymore</t>
  </si>
  <si>
    <t xml:space="preserve">The same system we run for top brokerages, now DIY.</t>
  </si>
  <si>
    <t xml:space="preserve">AS2_Ryan_NoAgency_BODY04</t>
  </si>
  <si>
    <t xml:space="preserve">RETARGETING (optional, once registrations are flowing) — run R-series videos to registered-not-attended, exclude attendees/buyers</t>
  </si>
  <si>
    <t xml:space="preserve">RT1</t>
  </si>
  <si>
    <t xml:space="preserve">Retarget</t>
  </si>
  <si>
    <t xml:space="preserve">&lt;R framing&gt;</t>
  </si>
  <si>
    <t xml:space="preserve">RT-01</t>
  </si>
  <si>
    <t xml:space="preserve">Your Head Start / Free Live Workshop</t>
  </si>
  <si>
    <t xml:space="preserve">3 things that make leads happen. See you [DATE].</t>
  </si>
  <si>
    <t xml:space="preserve">RT_Framing3Things_RT01</t>
  </si>
  <si>
    <t xml:space="preserve">RT2</t>
  </si>
  <si>
    <t xml:space="preserve">&lt;R objection&gt;</t>
  </si>
  <si>
    <t xml:space="preserve">RT-02</t>
  </si>
  <si>
    <t xml:space="preserve">RT-04</t>
  </si>
  <si>
    <t xml:space="preserve">Not Techy? / It Wasn't You</t>
  </si>
  <si>
    <t xml:space="preserve">Watch the AI do the technical part.</t>
  </si>
  <si>
    <t xml:space="preserve">RT_ObjTechy_RT02</t>
  </si>
  <si>
    <t xml:space="preserve">RT3</t>
  </si>
  <si>
    <t xml:space="preserve">&lt;R belief&gt;</t>
  </si>
  <si>
    <t xml:space="preserve">RT-05</t>
  </si>
  <si>
    <t xml:space="preserve">AI Builds The Ad / Own Your Lead Flow</t>
  </si>
  <si>
    <t xml:space="preserve">AI replaced the ad department, not the agent.</t>
  </si>
  <si>
    <t xml:space="preserve">RT_BeliefAI_RT05</t>
  </si>
  <si>
    <t xml:space="preserve">RT4</t>
  </si>
  <si>
    <t xml:space="preserve">&lt;R reminder&gt;</t>
  </si>
  <si>
    <t xml:space="preserve">RT-06</t>
  </si>
  <si>
    <t xml:space="preserve">Save Your Free Seat / Free Live Workshop</t>
  </si>
  <si>
    <t xml:space="preserve">Your seat's saved. Come live for the Q&amp;A.</t>
  </si>
  <si>
    <t xml:space="preserve">RT_Reminder_RT06</t>
  </si>
  <si>
    <t xml:space="preserve">COPY INDEX  (full text in 04-AD-COPY-BANK.md)</t>
  </si>
  <si>
    <t xml:space="preserve">ALL-PURPOSE MASTER ADS (run under ANY creative, default)</t>
  </si>
  <si>
    <t xml:space="preserve">ID</t>
  </si>
  <si>
    <t xml:space="preserve">Angle</t>
  </si>
  <si>
    <t xml:space="preserve">First line (callout)</t>
  </si>
  <si>
    <t xml:space="preserve">Callout (control)</t>
  </si>
  <si>
    <t xml:space="preserve">Attention realtors: if you want a steady stream of your own leads, read this.</t>
  </si>
  <si>
    <t xml:space="preserve">Problem-first</t>
  </si>
  <si>
    <t xml:space="preserve">Realtors: tired of paying for leads that never call you back?</t>
  </si>
  <si>
    <t xml:space="preserve">Big-promise</t>
  </si>
  <si>
    <t xml:space="preserve">What if you never started a month at zero again?</t>
  </si>
  <si>
    <t xml:space="preserve">ALL-SHORT</t>
  </si>
  <si>
    <t xml:space="preserve">All-purpose short</t>
  </si>
  <si>
    <t xml:space="preserve">Realtors, if you want your own steady stream of leads without an agency, read this.</t>
  </si>
  <si>
    <t xml:space="preserve">LONG-FORM PRIMARY TEXT (cold, pre-sell)</t>
  </si>
  <si>
    <t xml:space="preserve">First line (hook)</t>
  </si>
  <si>
    <t xml:space="preserve">BODY-01</t>
  </si>
  <si>
    <t xml:space="preserve">2-minute build / demo</t>
  </si>
  <si>
    <t xml:space="preserve">I just built a real estate Facebook ad in under two minutes. With AI.</t>
  </si>
  <si>
    <t xml:space="preserve">BODY-03</t>
  </si>
  <si>
    <t xml:space="preserve">It wasn't you</t>
  </si>
  <si>
    <t xml:space="preserve">Your Facebook ads didn't flop because you're bad at this.</t>
  </si>
  <si>
    <t xml:space="preserve">BODY-04</t>
  </si>
  <si>
    <t xml:space="preserve">No agency needed</t>
  </si>
  <si>
    <t xml:space="preserve">I run an agency that charges realtors $2,000/mo to run their ads.</t>
  </si>
  <si>
    <t xml:space="preserve">BODY-05</t>
  </si>
  <si>
    <t xml:space="preserve">Speed to lead</t>
  </si>
  <si>
    <t xml:space="preserve">A real estate lead is hot for about five minutes.</t>
  </si>
  <si>
    <t xml:space="preserve">BODY-06</t>
  </si>
  <si>
    <t xml:space="preserve">Proof (Eric)</t>
  </si>
  <si>
    <t xml:space="preserve">This agent went from $75K to $220K GCI in a single year.</t>
  </si>
  <si>
    <t xml:space="preserve">BODY-07</t>
  </si>
  <si>
    <t xml:space="preserve">Own your leads</t>
  </si>
  <si>
    <t xml:space="preserve">There are two kinds of realtors.</t>
  </si>
  <si>
    <t xml:space="preserve">BODY-08</t>
  </si>
  <si>
    <t xml:space="preserve">Straight invitation</t>
  </si>
  <si>
    <t xml:space="preserve">Free live workshop for realtors who want their own leads with AI.</t>
  </si>
  <si>
    <t xml:space="preserve">SHORT-FORM PRIMARY TEXT (warm, mobile, Reels/Stories)</t>
  </si>
  <si>
    <t xml:space="preserve">First line</t>
  </si>
  <si>
    <t xml:space="preserve">SHORT-01</t>
  </si>
  <si>
    <t xml:space="preserve">2-min build</t>
  </si>
  <si>
    <t xml:space="preserve">I built a real estate ad in under two minutes.</t>
  </si>
  <si>
    <t xml:space="preserve">SHORT-02</t>
  </si>
  <si>
    <t xml:space="preserve">Stop boosting</t>
  </si>
  <si>
    <t xml:space="preserve">Realtors, stop hitting boost.</t>
  </si>
  <si>
    <t xml:space="preserve">SHORT-03</t>
  </si>
  <si>
    <t xml:space="preserve">Your ads didn't flop because you're bad at this.</t>
  </si>
  <si>
    <t xml:space="preserve">SHORT-05</t>
  </si>
  <si>
    <t xml:space="preserve">SHORT-06</t>
  </si>
  <si>
    <t xml:space="preserve">Proof</t>
  </si>
  <si>
    <t xml:space="preserve">One agent went from $75K to $220K GCI in a year.</t>
  </si>
  <si>
    <t xml:space="preserve">SHORT-07</t>
  </si>
  <si>
    <t xml:space="preserve">You don't need more leads. You need your own.</t>
  </si>
  <si>
    <t xml:space="preserve">SHORT-08</t>
  </si>
  <si>
    <t xml:space="preserve">Straight invite</t>
  </si>
  <si>
    <t xml:space="preserve">Free live workshop for realtors: run your own ads with AI.</t>
  </si>
  <si>
    <t xml:space="preserve">SHORT-09</t>
  </si>
  <si>
    <t xml:space="preserve">Not techy</t>
  </si>
  <si>
    <t xml:space="preserve">I'm a realtor, not a tech person, and I run my own AI ads.</t>
  </si>
  <si>
    <t xml:space="preserve">SHORT-10</t>
  </si>
  <si>
    <t xml:space="preserve">Two kinds</t>
  </si>
  <si>
    <t xml:space="preserve">Two kinds of realtors: wait for leads, or turn them on like a tap.</t>
  </si>
  <si>
    <t xml:space="preserve">RETARGETING PRIMARY TEXT (registered-not-attended only)</t>
  </si>
  <si>
    <t xml:space="preserve">Framing, 3 things</t>
  </si>
  <si>
    <t xml:space="preserve">You're registered, so here's your head start.</t>
  </si>
  <si>
    <t xml:space="preserve">Objection, techy</t>
  </si>
  <si>
    <t xml:space="preserve">Worried you're not techy enough? Don't be.</t>
  </si>
  <si>
    <t xml:space="preserve">RT-03</t>
  </si>
  <si>
    <t xml:space="preserve">Objection, never ran ads</t>
  </si>
  <si>
    <t xml:space="preserve">Never run an ad in your life? Perfect.</t>
  </si>
  <si>
    <t xml:space="preserve">Objection, tried before</t>
  </si>
  <si>
    <t xml:space="preserve">Tried Facebook ads before and got burned?</t>
  </si>
  <si>
    <t xml:space="preserve">Belief, AI = ad dept</t>
  </si>
  <si>
    <t xml:space="preserve">AI didn't replace the agent. It replaced the ad department.</t>
  </si>
  <si>
    <t xml:space="preserve">Reminder / urgency</t>
  </si>
  <si>
    <t xml:space="preserve">Quick reminder: your free seat for [DATE] is saved.</t>
  </si>
  <si>
    <t xml:space="preserve">HEADLINE INDEX  (mobile-short, keep &lt;=30 chars)</t>
  </si>
  <si>
    <t xml:space="preserve">AI-FORWARD CALLOUT HEADLINES (Emma's picks, lead with these)</t>
  </si>
  <si>
    <t xml:space="preserve">Headline</t>
  </si>
  <si>
    <t xml:space="preserve">Chars</t>
  </si>
  <si>
    <t xml:space="preserve">Run Your Own Ads With AI</t>
  </si>
  <si>
    <t xml:space="preserve">Free AI Masterclass</t>
  </si>
  <si>
    <t xml:space="preserve">Free AI Training For Realtors</t>
  </si>
  <si>
    <t xml:space="preserve">Get Seller Leads With AI</t>
  </si>
  <si>
    <t xml:space="preserve">Get Buyer Leads With AI</t>
  </si>
  <si>
    <t xml:space="preserve">AI Ads For Realtors</t>
  </si>
  <si>
    <t xml:space="preserve">Free Live AI Workshop</t>
  </si>
  <si>
    <t xml:space="preserve">Your Leads, Built By AI</t>
  </si>
  <si>
    <t xml:space="preserve">TIER A, tightest (safest on all placements)</t>
  </si>
  <si>
    <t xml:space="preserve">Run Your Own Ads</t>
  </si>
  <si>
    <t xml:space="preserve">Your Leads, Your Account</t>
  </si>
  <si>
    <t xml:space="preserve">No Agency Needed</t>
  </si>
  <si>
    <t xml:space="preserve">Stop Boosting Posts</t>
  </si>
  <si>
    <t xml:space="preserve">Built In 2 Minutes</t>
  </si>
  <si>
    <t xml:space="preserve">AI Builds The Ad</t>
  </si>
  <si>
    <t xml:space="preserve">Get Your Own Leads</t>
  </si>
  <si>
    <t xml:space="preserve">Free Live Workshop</t>
  </si>
  <si>
    <t xml:space="preserve">TIER B, short primary headlines</t>
  </si>
  <si>
    <t xml:space="preserve">Your Own Leads, With AI</t>
  </si>
  <si>
    <t xml:space="preserve">Ads Without An Agency</t>
  </si>
  <si>
    <t xml:space="preserve">Leads That Actually Call</t>
  </si>
  <si>
    <t xml:space="preserve">$2K Agency? Not Anymore</t>
  </si>
  <si>
    <t xml:space="preserve">20 Minutes A Week</t>
  </si>
  <si>
    <t xml:space="preserve">AI Runs Your Real Estate Ads</t>
  </si>
  <si>
    <t xml:space="preserve">Own Your Lead Flow</t>
  </si>
  <si>
    <t xml:space="preserve">Save Your Free Seat</t>
  </si>
  <si>
    <t xml:space="preserve">Buyers And Sellers On Demand</t>
  </si>
  <si>
    <t xml:space="preserve">TIER C, benefit + proof (feed only)</t>
  </si>
  <si>
    <t xml:space="preserve">$75K To $220K GCI. Real Agent.</t>
  </si>
  <si>
    <t xml:space="preserve">Your Own Buyer &amp; Seller Leads</t>
  </si>
  <si>
    <t xml:space="preserve">Stop Renting Leads. Own Them.</t>
  </si>
  <si>
    <t xml:space="preserve">Free Workshop: AI Ads For Agents</t>
  </si>
  <si>
    <t xml:space="preserve">Get Leads Without Being Techy</t>
  </si>
  <si>
    <t xml:space="preserve">The Realtor Ad Machine</t>
  </si>
  <si>
    <t xml:space="preserve">CTA-style (pair with Learn More / Sign Up)</t>
  </si>
  <si>
    <t xml:space="preserve">Save My Free Seat</t>
  </si>
  <si>
    <t xml:space="preserve">Register Free</t>
  </si>
  <si>
    <t xml:space="preserve">Show Me How</t>
  </si>
  <si>
    <t xml:space="preserve">Watch It Build</t>
  </si>
  <si>
    <t xml:space="preserve">ALL-PURPOSE CALLOUT OPENERS</t>
  </si>
  <si>
    <t xml:space="preserve">Attention Realtors</t>
  </si>
  <si>
    <t xml:space="preserve">Realtors, Read This</t>
  </si>
  <si>
    <t xml:space="preserve">Your Own Leads, On Demand</t>
  </si>
  <si>
    <t xml:space="preserve">For Realtors Who Want Their Own Leads</t>
  </si>
  <si>
    <t xml:space="preserve">Tired Of Dead Leads?</t>
  </si>
  <si>
    <t xml:space="preserve">Never Start A Month At Zero</t>
  </si>
  <si>
    <t xml:space="preserve">KILL &amp; SCALE RULES + KPIs</t>
  </si>
  <si>
    <t xml:space="preserve">TARGETS</t>
  </si>
  <si>
    <t xml:space="preserve">Metric</t>
  </si>
  <si>
    <t xml:space="preserve">Target</t>
  </si>
  <si>
    <t xml:space="preserve">What to do</t>
  </si>
  <si>
    <t xml:space="preserve">CPL (cost per registration)</t>
  </si>
  <si>
    <t xml:space="preserve">$5 to $12</t>
  </si>
  <si>
    <t xml:space="preserve">Above $20: fix creative or audience. Below $5: verify lead quality.</t>
  </si>
  <si>
    <t xml:space="preserve">Show rate (attend/register)</t>
  </si>
  <si>
    <t xml:space="preserve">20 to 40%</t>
  </si>
  <si>
    <t xml:space="preserve">Below 10%: pause paid, fix topic / confirmation page / emails first.</t>
  </si>
  <si>
    <t xml:space="preserve">Frequency</t>
  </si>
  <si>
    <t xml:space="preserve">Under 2.0</t>
  </si>
  <si>
    <t xml:space="preserve">Refresh creative before it passes 2.0 with declining results. Don't wait for the dip.</t>
  </si>
  <si>
    <t xml:space="preserve">Hook rate (3-sec views)</t>
  </si>
  <si>
    <t xml:space="preserve">25%+</t>
  </si>
  <si>
    <t xml:space="preserve">Low hook rate = weak first 3 seconds. Swap the video, not the audience.</t>
  </si>
  <si>
    <t xml:space="preserve">CTR (link)</t>
  </si>
  <si>
    <t xml:space="preserve">1%+</t>
  </si>
  <si>
    <t xml:space="preserve">Below 0.7% with high impressions = creative or offer mismatch.</t>
  </si>
  <si>
    <t xml:space="preserve">THE DAILY RULES</t>
  </si>
  <si>
    <t xml:space="preserve">•  KILL a creative if CPL is 2x target with 1,000+ impressions and no leads. Don't nurse losers.</t>
  </si>
  <si>
    <t xml:space="preserve">•  KILL by changing the HOOK, never the audience. A dead hook stays dead in a new audience.</t>
  </si>
  <si>
    <t xml:space="preserve">•  SCALE winners by +20% every 48 to 72 hours. Faster jumps reset learning and spike CPL.</t>
  </si>
  <si>
    <t xml:space="preserve">•  During Testing (days 1-5), keep the audience broad and let the creative self-select.</t>
  </si>
  <si>
    <t xml:space="preserve">•  Keep 75%+ video viewers separate from 3-second viewers when you build retargeting.</t>
  </si>
  <si>
    <t xml:space="preserve">•  Refresh creative BEFORE frequency passes 2.0. Have the P2 videos ready as fatigue refreshes.</t>
  </si>
  <si>
    <t xml:space="preserve">•  Stop paid 0-1 days before the webinar; late registrants just drop into the email stream.</t>
  </si>
  <si>
    <t xml:space="preserve">PIXEL / TRACKING MUSTS</t>
  </si>
  <si>
    <t xml:space="preserve">•  Fire Lead on registration submit. Fire Schedule on confirmation-page load.</t>
  </si>
  <si>
    <t xml:space="preserve">•  Conversions API ON for server-side matching.</t>
  </si>
  <si>
    <t xml:space="preserve">•  UTMs on every ad URL (see UTM Builder tab) so CPL reads true by creative.</t>
  </si>
  <si>
    <t xml:space="preserve">•  Pixel ID on file: 1057475448873422.</t>
  </si>
  <si>
    <t xml:space="preserve">UTM BUILDER</t>
  </si>
  <si>
    <t xml:space="preserve">Base URL</t>
  </si>
  <si>
    <t xml:space="preserve">https://your-reg-page.com/register</t>
  </si>
  <si>
    <t xml:space="preserve">source</t>
  </si>
  <si>
    <t xml:space="preserve">medium</t>
  </si>
  <si>
    <t xml:space="preserve">campaign</t>
  </si>
  <si>
    <t xml:space="preserve">content (ad name)</t>
  </si>
  <si>
    <t xml:space="preserve">term (optional)</t>
  </si>
  <si>
    <t xml:space="preserve">Full tracked URL</t>
  </si>
  <si>
    <t xml:space="preserve">facebook</t>
  </si>
  <si>
    <t xml:space="preserve">paid_social</t>
  </si>
  <si>
    <t xml:space="preserve">ai_ads_webinar</t>
  </si>
  <si>
    <t xml:space="preserve">ai_ads_webinar_retarget</t>
  </si>
  <si>
    <t xml:space="preserve">Rule: utm_content ALWAYS equals the Ad Name so reporting ties spend to the exact video + copy.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</si>
</sst>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%"/>
    <numFmt numFmtId="167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7A5C12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7A5C12"/>
      <name val="Arial"/>
      <family val="0"/>
      <charset val="1"/>
    </font>
    <font>
      <b val="true"/>
      <sz val="11"/>
      <color rgb="FF1A1A1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3E9CF"/>
        <bgColor rgb="FFFFF7DD"/>
      </patternFill>
    </fill>
    <fill>
      <patternFill patternType="solid">
        <fgColor rgb="FFC9A24B"/>
        <bgColor rgb="FFFF9900"/>
      </patternFill>
    </fill>
    <fill>
      <patternFill patternType="solid">
        <fgColor rgb="FFFFF7DD"/>
        <bgColor rgb="FFF2F2F2"/>
      </patternFill>
    </fill>
    <fill>
      <patternFill patternType="solid">
        <fgColor rgb="FFF2F2F2"/>
        <bgColor rgb="FFFFF7DD"/>
      </patternFill>
    </fill>
    <fill>
      <patternFill patternType="solid">
        <fgColor rgb="FFFFFFFF"/>
        <bgColor rgb="FFFFF7D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/>
      <right style="thin">
        <color rgb="FFD0D0D0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C12"/>
      <rgbColor rgb="FF800080"/>
      <rgbColor rgb="FF008080"/>
      <rgbColor rgb="FFC0C0C0"/>
      <rgbColor rgb="FF808080"/>
      <rgbColor rgb="FF9999FF"/>
      <rgbColor rgb="FF993366"/>
      <rgbColor rgb="FFFFF7DD"/>
      <rgbColor rgb="FFF2F2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3E9C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24B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5" min="2" style="1" width="2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27.75" hidden="false" customHeight="true" outlineLevel="0" collapsed="false">
      <c r="B3" s="3"/>
      <c r="C3" s="4"/>
      <c r="D3" s="4"/>
      <c r="E3" s="4"/>
      <c r="F3" s="4"/>
    </row>
    <row r="4" customFormat="false" ht="27.75" hidden="false" customHeight="true" outlineLevel="0" collapsed="false">
      <c r="B4" s="3" t="s">
        <v>1</v>
      </c>
      <c r="C4" s="4" t="s">
        <v>2</v>
      </c>
      <c r="D4" s="4"/>
      <c r="E4" s="4"/>
      <c r="F4" s="4"/>
    </row>
    <row r="5" customFormat="false" ht="27.75" hidden="false" customHeight="true" outlineLevel="0" collapsed="false">
      <c r="B5" s="3" t="s">
        <v>3</v>
      </c>
      <c r="C5" s="4" t="s">
        <v>4</v>
      </c>
      <c r="D5" s="4"/>
      <c r="E5" s="4"/>
      <c r="F5" s="4"/>
    </row>
    <row r="6" customFormat="false" ht="27.75" hidden="false" customHeight="true" outlineLevel="0" collapsed="false">
      <c r="B6" s="3" t="s">
        <v>5</v>
      </c>
      <c r="C6" s="4" t="s">
        <v>6</v>
      </c>
      <c r="D6" s="4"/>
      <c r="E6" s="4"/>
      <c r="F6" s="4"/>
    </row>
    <row r="7" customFormat="false" ht="27.75" hidden="false" customHeight="true" outlineLevel="0" collapsed="false">
      <c r="B7" s="3" t="s">
        <v>7</v>
      </c>
      <c r="C7" s="4" t="s">
        <v>8</v>
      </c>
      <c r="D7" s="4"/>
      <c r="E7" s="4"/>
      <c r="F7" s="4"/>
    </row>
    <row r="8" customFormat="false" ht="27.75" hidden="false" customHeight="true" outlineLevel="0" collapsed="false">
      <c r="B8" s="3" t="s">
        <v>9</v>
      </c>
      <c r="C8" s="4" t="s">
        <v>10</v>
      </c>
      <c r="D8" s="4"/>
      <c r="E8" s="4"/>
      <c r="F8" s="4"/>
    </row>
    <row r="9" customFormat="false" ht="27.75" hidden="false" customHeight="true" outlineLevel="0" collapsed="false">
      <c r="B9" s="3" t="s">
        <v>11</v>
      </c>
      <c r="C9" s="4" t="s">
        <v>12</v>
      </c>
      <c r="D9" s="4"/>
      <c r="E9" s="4"/>
      <c r="F9" s="4"/>
    </row>
    <row r="10" customFormat="false" ht="27.75" hidden="false" customHeight="true" outlineLevel="0" collapsed="false">
      <c r="B10" s="3" t="s">
        <v>13</v>
      </c>
      <c r="C10" s="4" t="s">
        <v>14</v>
      </c>
      <c r="D10" s="4"/>
      <c r="E10" s="4"/>
      <c r="F10" s="4"/>
    </row>
    <row r="11" customFormat="false" ht="27.75" hidden="false" customHeight="true" outlineLevel="0" collapsed="false">
      <c r="B11" s="3"/>
      <c r="C11" s="4"/>
      <c r="D11" s="4"/>
      <c r="E11" s="4"/>
      <c r="F11" s="4"/>
    </row>
    <row r="12" customFormat="false" ht="21.75" hidden="false" customHeight="true" outlineLevel="0" collapsed="false">
      <c r="A12" s="5" t="s">
        <v>15</v>
      </c>
      <c r="B12" s="5"/>
      <c r="C12" s="5"/>
      <c r="D12" s="5"/>
      <c r="E12" s="5"/>
      <c r="F12" s="5"/>
    </row>
    <row r="13" customFormat="false" ht="25.5" hidden="false" customHeight="true" outlineLevel="0" collapsed="false">
      <c r="B13" s="6" t="s">
        <v>16</v>
      </c>
      <c r="C13" s="4" t="s">
        <v>17</v>
      </c>
      <c r="D13" s="4"/>
      <c r="E13" s="4"/>
      <c r="F13" s="4"/>
    </row>
    <row r="14" customFormat="false" ht="25.5" hidden="false" customHeight="true" outlineLevel="0" collapsed="false">
      <c r="B14" s="6" t="s">
        <v>18</v>
      </c>
      <c r="C14" s="4" t="s">
        <v>19</v>
      </c>
      <c r="D14" s="4"/>
      <c r="E14" s="4"/>
      <c r="F14" s="4"/>
    </row>
    <row r="15" customFormat="false" ht="25.5" hidden="false" customHeight="true" outlineLevel="0" collapsed="false">
      <c r="B15" s="6" t="s">
        <v>20</v>
      </c>
      <c r="C15" s="4" t="s">
        <v>21</v>
      </c>
      <c r="D15" s="4"/>
      <c r="E15" s="4"/>
      <c r="F15" s="4"/>
    </row>
    <row r="16" customFormat="false" ht="25.5" hidden="false" customHeight="true" outlineLevel="0" collapsed="false">
      <c r="B16" s="6" t="s">
        <v>22</v>
      </c>
      <c r="C16" s="4" t="s">
        <v>23</v>
      </c>
      <c r="D16" s="4"/>
      <c r="E16" s="4"/>
      <c r="F16" s="4"/>
    </row>
    <row r="17" customFormat="false" ht="25.5" hidden="false" customHeight="true" outlineLevel="0" collapsed="false">
      <c r="B17" s="6" t="s">
        <v>24</v>
      </c>
      <c r="C17" s="4" t="s">
        <v>25</v>
      </c>
      <c r="D17" s="4"/>
      <c r="E17" s="4"/>
      <c r="F17" s="4"/>
    </row>
    <row r="18" customFormat="false" ht="25.5" hidden="false" customHeight="true" outlineLevel="0" collapsed="false">
      <c r="B18" s="6" t="s">
        <v>26</v>
      </c>
      <c r="C18" s="4" t="s">
        <v>27</v>
      </c>
      <c r="D18" s="4"/>
      <c r="E18" s="4"/>
      <c r="F18" s="4"/>
    </row>
    <row r="19" customFormat="false" ht="25.5" hidden="false" customHeight="true" outlineLevel="0" collapsed="false">
      <c r="B19" s="6" t="s">
        <v>28</v>
      </c>
      <c r="C19" s="4" t="s">
        <v>29</v>
      </c>
      <c r="D19" s="4"/>
      <c r="E19" s="4"/>
      <c r="F19" s="4"/>
    </row>
    <row r="21" customFormat="false" ht="15" hidden="false" customHeight="true" outlineLevel="0" collapsed="false">
      <c r="B21" s="7" t="s">
        <v>30</v>
      </c>
      <c r="C21" s="7"/>
      <c r="D21" s="7"/>
      <c r="E21" s="7"/>
      <c r="F21" s="7"/>
    </row>
  </sheetData>
  <mergeCells count="19">
    <mergeCell ref="A1:F1"/>
    <mergeCell ref="C3:F3"/>
    <mergeCell ref="C4:F4"/>
    <mergeCell ref="C5:F5"/>
    <mergeCell ref="C6:F6"/>
    <mergeCell ref="C7:F7"/>
    <mergeCell ref="C8:F8"/>
    <mergeCell ref="C9:F9"/>
    <mergeCell ref="C10:F10"/>
    <mergeCell ref="C11:F11"/>
    <mergeCell ref="A12:F12"/>
    <mergeCell ref="C13:F13"/>
    <mergeCell ref="C14:F14"/>
    <mergeCell ref="C15:F15"/>
    <mergeCell ref="C16:F16"/>
    <mergeCell ref="C17:F17"/>
    <mergeCell ref="C18:F18"/>
    <mergeCell ref="C19:F19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6" min="3" style="1" width="16"/>
  </cols>
  <sheetData>
    <row r="1" customFormat="false" ht="30" hidden="false" customHeight="true" outlineLevel="0" collapsed="false">
      <c r="A1" s="2" t="s">
        <v>31</v>
      </c>
      <c r="B1" s="2"/>
      <c r="C1" s="2"/>
      <c r="D1" s="2"/>
      <c r="E1" s="2"/>
      <c r="F1" s="2"/>
    </row>
    <row r="3" customFormat="false" ht="21.75" hidden="false" customHeight="true" outlineLevel="0" collapsed="false">
      <c r="A3" s="5" t="s">
        <v>32</v>
      </c>
      <c r="B3" s="5"/>
      <c r="C3" s="5"/>
      <c r="D3" s="5"/>
      <c r="E3" s="5"/>
      <c r="F3" s="5"/>
    </row>
    <row r="4" customFormat="false" ht="15" hidden="false" customHeight="true" outlineLevel="0" collapsed="false">
      <c r="B4" s="8" t="s">
        <v>33</v>
      </c>
      <c r="C4" s="9" t="n">
        <v>100</v>
      </c>
    </row>
    <row r="5" customFormat="false" ht="15" hidden="false" customHeight="true" outlineLevel="0" collapsed="false">
      <c r="B5" s="8" t="s">
        <v>34</v>
      </c>
      <c r="C5" s="9" t="n">
        <v>100</v>
      </c>
    </row>
    <row r="6" customFormat="false" ht="15" hidden="false" customHeight="true" outlineLevel="0" collapsed="false">
      <c r="B6" s="8" t="s">
        <v>35</v>
      </c>
      <c r="C6" s="10" t="n">
        <v>12</v>
      </c>
    </row>
    <row r="7" customFormat="false" ht="15" hidden="false" customHeight="true" outlineLevel="0" collapsed="false">
      <c r="B7" s="8" t="s">
        <v>36</v>
      </c>
      <c r="C7" s="9" t="n">
        <v>5</v>
      </c>
    </row>
    <row r="8" customFormat="false" ht="15" hidden="false" customHeight="true" outlineLevel="0" collapsed="false">
      <c r="B8" s="8" t="s">
        <v>37</v>
      </c>
      <c r="C8" s="9" t="n">
        <v>8</v>
      </c>
    </row>
    <row r="9" customFormat="false" ht="15" hidden="false" customHeight="true" outlineLevel="0" collapsed="false">
      <c r="B9" s="8" t="s">
        <v>38</v>
      </c>
      <c r="C9" s="9" t="n">
        <v>12</v>
      </c>
    </row>
    <row r="10" customFormat="false" ht="15" hidden="false" customHeight="true" outlineLevel="0" collapsed="false">
      <c r="B10" s="8" t="s">
        <v>39</v>
      </c>
      <c r="C10" s="11" t="n">
        <v>0.25</v>
      </c>
    </row>
    <row r="12" customFormat="false" ht="21.75" hidden="false" customHeight="true" outlineLevel="0" collapsed="false">
      <c r="A12" s="5" t="s">
        <v>40</v>
      </c>
      <c r="B12" s="5"/>
      <c r="C12" s="5"/>
      <c r="D12" s="5"/>
      <c r="E12" s="5"/>
      <c r="F12" s="5"/>
    </row>
    <row r="13" customFormat="false" ht="15" hidden="false" customHeight="true" outlineLevel="0" collapsed="false">
      <c r="B13" s="8" t="s">
        <v>41</v>
      </c>
      <c r="C13" s="12" t="n">
        <f aca="false">C4+C5</f>
        <v>200</v>
      </c>
    </row>
    <row r="14" customFormat="false" ht="15" hidden="false" customHeight="true" outlineLevel="0" collapsed="false">
      <c r="B14" s="3" t="s">
        <v>42</v>
      </c>
      <c r="C14" s="13" t="n">
        <f aca="false">(C4+C5)*C6</f>
        <v>2400</v>
      </c>
    </row>
    <row r="16" customFormat="false" ht="21.75" hidden="false" customHeight="true" outlineLevel="0" collapsed="false">
      <c r="A16" s="5" t="s">
        <v>43</v>
      </c>
      <c r="B16" s="5"/>
      <c r="C16" s="5"/>
      <c r="D16" s="5"/>
      <c r="E16" s="5"/>
      <c r="F16" s="5"/>
    </row>
    <row r="17" customFormat="false" ht="45.75" hidden="false" customHeight="true" outlineLevel="0" collapsed="false">
      <c r="A17" s="14" t="s">
        <v>44</v>
      </c>
      <c r="B17" s="14" t="s">
        <v>45</v>
      </c>
      <c r="C17" s="14" t="s">
        <v>46</v>
      </c>
      <c r="D17" s="14" t="s">
        <v>47</v>
      </c>
      <c r="E17" s="14" t="s">
        <v>48</v>
      </c>
    </row>
    <row r="18" customFormat="false" ht="90.75" hidden="false" customHeight="true" outlineLevel="0" collapsed="false">
      <c r="A18" s="8" t="s">
        <v>49</v>
      </c>
      <c r="B18" s="12" t="n">
        <f aca="false">C7</f>
        <v>5</v>
      </c>
      <c r="C18" s="15" t="n">
        <f aca="false">($C$14)/C7</f>
        <v>480</v>
      </c>
      <c r="D18" s="15" t="n">
        <f aca="false">ROUND(($C$14/C7)*$C$10,0)</f>
        <v>120</v>
      </c>
      <c r="E18" s="12" t="n">
        <f aca="false">$C$14/D18</f>
        <v>20</v>
      </c>
    </row>
    <row r="19" customFormat="false" ht="102" hidden="false" customHeight="true" outlineLevel="0" collapsed="false">
      <c r="A19" s="8" t="s">
        <v>50</v>
      </c>
      <c r="B19" s="12" t="n">
        <f aca="false">C8</f>
        <v>8</v>
      </c>
      <c r="C19" s="15" t="n">
        <f aca="false">($C$14)/C8</f>
        <v>300</v>
      </c>
      <c r="D19" s="15" t="n">
        <f aca="false">ROUND(($C$14/C8)*$C$10,0)</f>
        <v>75</v>
      </c>
      <c r="E19" s="12" t="n">
        <f aca="false">$C$14/D19</f>
        <v>32</v>
      </c>
    </row>
    <row r="20" customFormat="false" ht="90.75" hidden="false" customHeight="true" outlineLevel="0" collapsed="false">
      <c r="A20" s="8" t="s">
        <v>51</v>
      </c>
      <c r="B20" s="12" t="n">
        <f aca="false">C9</f>
        <v>12</v>
      </c>
      <c r="C20" s="15" t="n">
        <f aca="false">($C$14)/C9</f>
        <v>200</v>
      </c>
      <c r="D20" s="15" t="n">
        <f aca="false">ROUND(($C$14/C9)*$C$10,0)</f>
        <v>50</v>
      </c>
      <c r="E20" s="12" t="n">
        <f aca="false">$C$14/D20</f>
        <v>48</v>
      </c>
    </row>
    <row r="22" customFormat="false" ht="15" hidden="false" customHeight="true" outlineLevel="0" collapsed="false">
      <c r="A22" s="16" t="s">
        <v>52</v>
      </c>
      <c r="B22" s="16"/>
      <c r="C22" s="16"/>
      <c r="D22" s="16"/>
      <c r="E22" s="16"/>
    </row>
    <row r="24" customFormat="false" ht="21.75" hidden="false" customHeight="true" outlineLevel="0" collapsed="false">
      <c r="A24" s="5" t="s">
        <v>53</v>
      </c>
      <c r="B24" s="5"/>
      <c r="C24" s="5"/>
      <c r="D24" s="5"/>
      <c r="E24" s="5"/>
      <c r="F24" s="5"/>
    </row>
    <row r="25" customFormat="false" ht="34.5" hidden="false" customHeight="true" outlineLevel="0" collapsed="false">
      <c r="A25" s="14" t="s">
        <v>54</v>
      </c>
      <c r="B25" s="14" t="s">
        <v>55</v>
      </c>
      <c r="C25" s="14" t="s">
        <v>56</v>
      </c>
      <c r="D25" s="14" t="s">
        <v>57</v>
      </c>
    </row>
    <row r="26" customFormat="false" ht="30" hidden="false" customHeight="true" outlineLevel="0" collapsed="false">
      <c r="A26" s="8" t="s">
        <v>58</v>
      </c>
      <c r="B26" s="4" t="s">
        <v>59</v>
      </c>
      <c r="C26" s="4" t="s">
        <v>60</v>
      </c>
      <c r="D26" s="4" t="s">
        <v>61</v>
      </c>
    </row>
    <row r="27" customFormat="false" ht="30" hidden="false" customHeight="true" outlineLevel="0" collapsed="false">
      <c r="A27" s="8" t="s">
        <v>62</v>
      </c>
      <c r="B27" s="4" t="s">
        <v>63</v>
      </c>
      <c r="C27" s="4" t="s">
        <v>64</v>
      </c>
      <c r="D27" s="4" t="s">
        <v>65</v>
      </c>
    </row>
    <row r="28" customFormat="false" ht="30" hidden="false" customHeight="true" outlineLevel="0" collapsed="false">
      <c r="A28" s="8" t="s">
        <v>66</v>
      </c>
      <c r="B28" s="4" t="s">
        <v>67</v>
      </c>
      <c r="C28" s="4" t="s">
        <v>68</v>
      </c>
      <c r="D28" s="4" t="s">
        <v>69</v>
      </c>
    </row>
  </sheetData>
  <mergeCells count="6">
    <mergeCell ref="A1:F1"/>
    <mergeCell ref="A3:F3"/>
    <mergeCell ref="A12:F12"/>
    <mergeCell ref="A16:F16"/>
    <mergeCell ref="A22:E22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3" min="2" style="1" width="26"/>
    <col collapsed="false" customWidth="true" hidden="false" outlineLevel="0" max="5" min="4" style="1" width="30"/>
  </cols>
  <sheetData>
    <row r="1" customFormat="false" ht="30" hidden="false" customHeight="true" outlineLevel="0" collapsed="false">
      <c r="A1" s="2" t="s">
        <v>70</v>
      </c>
      <c r="B1" s="2"/>
      <c r="C1" s="2"/>
      <c r="D1" s="2"/>
      <c r="E1" s="2"/>
    </row>
    <row r="3" customFormat="false" ht="21.75" hidden="false" customHeight="true" outlineLevel="0" collapsed="false">
      <c r="A3" s="5" t="s">
        <v>71</v>
      </c>
      <c r="B3" s="5"/>
      <c r="C3" s="5"/>
      <c r="D3" s="5"/>
      <c r="E3" s="5"/>
    </row>
    <row r="4" customFormat="false" ht="15" hidden="false" customHeight="true" outlineLevel="0" collapsed="false">
      <c r="B4" s="3" t="s">
        <v>3</v>
      </c>
      <c r="C4" s="4" t="s">
        <v>72</v>
      </c>
      <c r="D4" s="4"/>
      <c r="E4" s="4"/>
    </row>
    <row r="5" customFormat="false" ht="15" hidden="false" customHeight="true" outlineLevel="0" collapsed="false">
      <c r="B5" s="3" t="s">
        <v>73</v>
      </c>
      <c r="C5" s="4" t="s">
        <v>74</v>
      </c>
      <c r="D5" s="4"/>
      <c r="E5" s="4"/>
    </row>
    <row r="6" customFormat="false" ht="15" hidden="false" customHeight="true" outlineLevel="0" collapsed="false">
      <c r="B6" s="3" t="s">
        <v>75</v>
      </c>
      <c r="C6" s="4" t="s">
        <v>76</v>
      </c>
      <c r="D6" s="4"/>
      <c r="E6" s="4"/>
    </row>
    <row r="7" customFormat="false" ht="15" hidden="false" customHeight="true" outlineLevel="0" collapsed="false">
      <c r="B7" s="3" t="s">
        <v>77</v>
      </c>
      <c r="C7" s="4" t="s">
        <v>78</v>
      </c>
      <c r="D7" s="4"/>
      <c r="E7" s="4"/>
    </row>
    <row r="9" customFormat="false" ht="21.75" hidden="false" customHeight="true" outlineLevel="0" collapsed="false">
      <c r="A9" s="5" t="s">
        <v>79</v>
      </c>
      <c r="B9" s="5"/>
      <c r="C9" s="5"/>
      <c r="D9" s="5"/>
      <c r="E9" s="5"/>
    </row>
    <row r="10" customFormat="false" ht="34.5" hidden="false" customHeight="true" outlineLevel="0" collapsed="false">
      <c r="A10" s="14" t="s">
        <v>80</v>
      </c>
      <c r="B10" s="14" t="s">
        <v>81</v>
      </c>
      <c r="C10" s="14" t="s">
        <v>82</v>
      </c>
      <c r="D10" s="14" t="s">
        <v>83</v>
      </c>
    </row>
    <row r="11" customFormat="false" ht="39.75" hidden="false" customHeight="true" outlineLevel="0" collapsed="false">
      <c r="A11" s="8" t="s">
        <v>84</v>
      </c>
      <c r="B11" s="4" t="s">
        <v>85</v>
      </c>
      <c r="C11" s="4" t="s">
        <v>86</v>
      </c>
      <c r="D11" s="4" t="s">
        <v>87</v>
      </c>
    </row>
    <row r="12" customFormat="false" ht="39.75" hidden="false" customHeight="true" outlineLevel="0" collapsed="false">
      <c r="A12" s="8" t="s">
        <v>88</v>
      </c>
      <c r="B12" s="4" t="s">
        <v>85</v>
      </c>
      <c r="C12" s="4" t="s">
        <v>86</v>
      </c>
      <c r="D12" s="4" t="s">
        <v>89</v>
      </c>
    </row>
    <row r="14" customFormat="false" ht="21.75" hidden="false" customHeight="true" outlineLevel="0" collapsed="false">
      <c r="A14" s="5" t="s">
        <v>90</v>
      </c>
      <c r="B14" s="5"/>
      <c r="C14" s="5"/>
      <c r="D14" s="5"/>
      <c r="E14" s="5"/>
    </row>
    <row r="15" customFormat="false" ht="33.75" hidden="false" customHeight="true" outlineLevel="0" collapsed="false">
      <c r="B15" s="3" t="s">
        <v>91</v>
      </c>
      <c r="C15" s="4" t="s">
        <v>92</v>
      </c>
      <c r="D15" s="4"/>
      <c r="E15" s="4"/>
    </row>
    <row r="16" customFormat="false" ht="33.75" hidden="false" customHeight="true" outlineLevel="0" collapsed="false">
      <c r="B16" s="3" t="s">
        <v>93</v>
      </c>
      <c r="C16" s="4" t="s">
        <v>94</v>
      </c>
      <c r="D16" s="4"/>
      <c r="E16" s="4"/>
    </row>
    <row r="17" customFormat="false" ht="33.75" hidden="false" customHeight="true" outlineLevel="0" collapsed="false">
      <c r="B17" s="3" t="s">
        <v>95</v>
      </c>
      <c r="C17" s="4" t="s">
        <v>96</v>
      </c>
      <c r="D17" s="4"/>
      <c r="E17" s="4"/>
    </row>
    <row r="18" customFormat="false" ht="33.75" hidden="false" customHeight="true" outlineLevel="0" collapsed="false">
      <c r="B18" s="3" t="s">
        <v>97</v>
      </c>
      <c r="C18" s="4" t="s">
        <v>98</v>
      </c>
      <c r="D18" s="4"/>
      <c r="E18" s="4"/>
    </row>
    <row r="20" customFormat="false" ht="21.75" hidden="false" customHeight="true" outlineLevel="0" collapsed="false">
      <c r="A20" s="17" t="s">
        <v>99</v>
      </c>
      <c r="B20" s="17"/>
      <c r="C20" s="17"/>
      <c r="D20" s="17"/>
      <c r="E20" s="17"/>
    </row>
    <row r="21" customFormat="false" ht="15" hidden="false" customHeight="true" outlineLevel="0" collapsed="false">
      <c r="B21" s="4" t="s">
        <v>100</v>
      </c>
      <c r="C21" s="4"/>
      <c r="D21" s="4"/>
      <c r="E21" s="4"/>
    </row>
    <row r="22" customFormat="false" ht="15" hidden="false" customHeight="true" outlineLevel="0" collapsed="false">
      <c r="B22" s="4" t="s">
        <v>101</v>
      </c>
      <c r="C22" s="4"/>
      <c r="D22" s="4"/>
      <c r="E22" s="4"/>
    </row>
    <row r="23" customFormat="false" ht="15" hidden="false" customHeight="true" outlineLevel="0" collapsed="false">
      <c r="B23" s="4" t="s">
        <v>102</v>
      </c>
      <c r="C23" s="4"/>
      <c r="D23" s="4"/>
      <c r="E23" s="4"/>
    </row>
    <row r="24" customFormat="false" ht="15" hidden="false" customHeight="true" outlineLevel="0" collapsed="false">
      <c r="B24" s="4" t="s">
        <v>103</v>
      </c>
      <c r="C24" s="4"/>
      <c r="D24" s="4"/>
      <c r="E24" s="4"/>
    </row>
    <row r="26" customFormat="false" ht="42" hidden="false" customHeight="true" outlineLevel="0" collapsed="false">
      <c r="B26" s="16" t="s">
        <v>104</v>
      </c>
      <c r="C26" s="16"/>
      <c r="D26" s="16"/>
      <c r="E26" s="16"/>
    </row>
    <row r="27" customFormat="false" ht="15" hidden="false" customHeight="true" outlineLevel="0" collapsed="false">
      <c r="B27" s="16"/>
      <c r="C27" s="16"/>
      <c r="D27" s="16"/>
      <c r="E27" s="16"/>
    </row>
  </sheetData>
  <mergeCells count="18">
    <mergeCell ref="A1:E1"/>
    <mergeCell ref="A3:E3"/>
    <mergeCell ref="C4:E4"/>
    <mergeCell ref="C5:E5"/>
    <mergeCell ref="C6:E6"/>
    <mergeCell ref="C7:E7"/>
    <mergeCell ref="A9:E9"/>
    <mergeCell ref="A14:E14"/>
    <mergeCell ref="C15:E15"/>
    <mergeCell ref="C16:E16"/>
    <mergeCell ref="C17:E17"/>
    <mergeCell ref="C18:E18"/>
    <mergeCell ref="A20:E20"/>
    <mergeCell ref="B21:E21"/>
    <mergeCell ref="B22:E22"/>
    <mergeCell ref="B23:E23"/>
    <mergeCell ref="B24:E24"/>
    <mergeCell ref="B26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5" min="4" style="1" width="16"/>
    <col collapsed="false" customWidth="true" hidden="false" outlineLevel="0" max="6" min="6" style="1" width="20"/>
    <col collapsed="false" customWidth="true" hidden="false" outlineLevel="0" max="7" min="7" style="1" width="26"/>
    <col collapsed="false" customWidth="true" hidden="false" outlineLevel="0" max="8" min="8" style="1" width="14"/>
    <col collapsed="false" customWidth="true" hidden="false" outlineLevel="0" max="9" min="9" style="1" width="30"/>
  </cols>
  <sheetData>
    <row r="1" customFormat="false" ht="30" hidden="false" customHeight="true" outlineLevel="0" collapsed="false">
      <c r="A1" s="2" t="s">
        <v>105</v>
      </c>
      <c r="B1" s="2"/>
      <c r="C1" s="2"/>
      <c r="D1" s="2"/>
      <c r="E1" s="2"/>
      <c r="F1" s="2"/>
      <c r="G1" s="2"/>
      <c r="H1" s="2"/>
      <c r="I1" s="2"/>
    </row>
    <row r="2" customFormat="false" ht="27.75" hidden="false" customHeight="true" outlineLevel="0" collapsed="false">
      <c r="A2" s="16" t="s">
        <v>106</v>
      </c>
      <c r="B2" s="16"/>
      <c r="C2" s="16"/>
      <c r="D2" s="16"/>
      <c r="E2" s="16"/>
      <c r="F2" s="16"/>
      <c r="G2" s="16"/>
      <c r="H2" s="16"/>
      <c r="I2" s="16"/>
    </row>
    <row r="3" customFormat="false" ht="15" hidden="false" customHeight="true" outlineLevel="0" collapsed="false">
      <c r="A3" s="14" t="s">
        <v>107</v>
      </c>
      <c r="B3" s="14" t="s">
        <v>108</v>
      </c>
      <c r="C3" s="14" t="s">
        <v>109</v>
      </c>
      <c r="D3" s="14" t="s">
        <v>110</v>
      </c>
      <c r="E3" s="14" t="s">
        <v>111</v>
      </c>
      <c r="F3" s="14" t="s">
        <v>112</v>
      </c>
      <c r="G3" s="14" t="s">
        <v>113</v>
      </c>
      <c r="H3" s="14" t="s">
        <v>114</v>
      </c>
      <c r="I3" s="14" t="s">
        <v>115</v>
      </c>
    </row>
    <row r="4" customFormat="false" ht="30" hidden="false" customHeight="true" outlineLevel="0" collapsed="false">
      <c r="A4" s="18" t="s">
        <v>116</v>
      </c>
      <c r="B4" s="19" t="s">
        <v>117</v>
      </c>
      <c r="C4" s="19" t="s">
        <v>118</v>
      </c>
      <c r="D4" s="19" t="s">
        <v>119</v>
      </c>
      <c r="E4" s="19" t="s">
        <v>120</v>
      </c>
      <c r="F4" s="19" t="s">
        <v>121</v>
      </c>
      <c r="G4" s="19" t="s">
        <v>122</v>
      </c>
      <c r="H4" s="19" t="s">
        <v>123</v>
      </c>
      <c r="I4" s="19" t="s">
        <v>124</v>
      </c>
    </row>
    <row r="5" customFormat="false" ht="30" hidden="false" customHeight="true" outlineLevel="0" collapsed="false">
      <c r="A5" s="20" t="s">
        <v>125</v>
      </c>
      <c r="B5" s="21" t="s">
        <v>117</v>
      </c>
      <c r="C5" s="21" t="s">
        <v>126</v>
      </c>
      <c r="D5" s="21" t="s">
        <v>127</v>
      </c>
      <c r="E5" s="21" t="s">
        <v>128</v>
      </c>
      <c r="F5" s="21" t="s">
        <v>129</v>
      </c>
      <c r="G5" s="21" t="s">
        <v>130</v>
      </c>
      <c r="H5" s="21" t="s">
        <v>123</v>
      </c>
      <c r="I5" s="21" t="s">
        <v>131</v>
      </c>
    </row>
    <row r="6" customFormat="false" ht="30" hidden="false" customHeight="true" outlineLevel="0" collapsed="false">
      <c r="A6" s="18" t="s">
        <v>132</v>
      </c>
      <c r="B6" s="19" t="s">
        <v>117</v>
      </c>
      <c r="C6" s="19" t="s">
        <v>133</v>
      </c>
      <c r="D6" s="19" t="s">
        <v>134</v>
      </c>
      <c r="E6" s="19" t="s">
        <v>135</v>
      </c>
      <c r="F6" s="19" t="s">
        <v>136</v>
      </c>
      <c r="G6" s="19" t="s">
        <v>137</v>
      </c>
      <c r="H6" s="19" t="s">
        <v>138</v>
      </c>
      <c r="I6" s="19" t="s">
        <v>139</v>
      </c>
    </row>
    <row r="7" customFormat="false" ht="30" hidden="false" customHeight="true" outlineLevel="0" collapsed="false">
      <c r="A7" s="20" t="s">
        <v>140</v>
      </c>
      <c r="B7" s="21" t="s">
        <v>117</v>
      </c>
      <c r="C7" s="21" t="s">
        <v>141</v>
      </c>
      <c r="D7" s="21" t="s">
        <v>119</v>
      </c>
      <c r="E7" s="21" t="s">
        <v>142</v>
      </c>
      <c r="F7" s="21" t="s">
        <v>143</v>
      </c>
      <c r="G7" s="21" t="s">
        <v>144</v>
      </c>
      <c r="H7" s="21" t="s">
        <v>123</v>
      </c>
      <c r="I7" s="21" t="s">
        <v>145</v>
      </c>
    </row>
    <row r="8" customFormat="false" ht="30" hidden="false" customHeight="true" outlineLevel="0" collapsed="false">
      <c r="A8" s="18" t="s">
        <v>146</v>
      </c>
      <c r="B8" s="19" t="s">
        <v>117</v>
      </c>
      <c r="C8" s="19" t="s">
        <v>147</v>
      </c>
      <c r="D8" s="19" t="s">
        <v>127</v>
      </c>
      <c r="E8" s="19" t="s">
        <v>148</v>
      </c>
      <c r="F8" s="19" t="s">
        <v>149</v>
      </c>
      <c r="G8" s="19" t="s">
        <v>150</v>
      </c>
      <c r="H8" s="19" t="s">
        <v>151</v>
      </c>
      <c r="I8" s="19" t="s">
        <v>152</v>
      </c>
    </row>
    <row r="9" customFormat="false" ht="30" hidden="false" customHeight="true" outlineLevel="0" collapsed="false">
      <c r="A9" s="20" t="s">
        <v>153</v>
      </c>
      <c r="B9" s="21" t="s">
        <v>154</v>
      </c>
      <c r="C9" s="21" t="s">
        <v>155</v>
      </c>
      <c r="D9" s="21" t="s">
        <v>134</v>
      </c>
      <c r="E9" s="21" t="s">
        <v>156</v>
      </c>
      <c r="F9" s="21" t="s">
        <v>157</v>
      </c>
      <c r="G9" s="21" t="s">
        <v>158</v>
      </c>
      <c r="H9" s="21" t="s">
        <v>123</v>
      </c>
      <c r="I9" s="21" t="s">
        <v>159</v>
      </c>
    </row>
    <row r="10" customFormat="false" ht="30" hidden="false" customHeight="true" outlineLevel="0" collapsed="false">
      <c r="A10" s="18" t="s">
        <v>160</v>
      </c>
      <c r="B10" s="19" t="s">
        <v>154</v>
      </c>
      <c r="C10" s="19" t="s">
        <v>155</v>
      </c>
      <c r="D10" s="19" t="s">
        <v>119</v>
      </c>
      <c r="E10" s="19" t="s">
        <v>161</v>
      </c>
      <c r="F10" s="19" t="s">
        <v>162</v>
      </c>
      <c r="G10" s="19" t="s">
        <v>130</v>
      </c>
      <c r="H10" s="19" t="s">
        <v>138</v>
      </c>
      <c r="I10" s="19" t="s">
        <v>163</v>
      </c>
    </row>
    <row r="11" customFormat="false" ht="30" hidden="false" customHeight="true" outlineLevel="0" collapsed="false">
      <c r="A11" s="20" t="s">
        <v>164</v>
      </c>
      <c r="B11" s="21" t="s">
        <v>154</v>
      </c>
      <c r="C11" s="21" t="s">
        <v>165</v>
      </c>
      <c r="D11" s="21" t="s">
        <v>127</v>
      </c>
      <c r="E11" s="21" t="s">
        <v>120</v>
      </c>
      <c r="F11" s="21" t="s">
        <v>166</v>
      </c>
      <c r="G11" s="21" t="s">
        <v>167</v>
      </c>
      <c r="H11" s="21" t="s">
        <v>138</v>
      </c>
      <c r="I11" s="21" t="s">
        <v>168</v>
      </c>
    </row>
    <row r="12" customFormat="false" ht="30" hidden="false" customHeight="true" outlineLevel="0" collapsed="false">
      <c r="A12" s="18" t="s">
        <v>169</v>
      </c>
      <c r="B12" s="19" t="s">
        <v>154</v>
      </c>
      <c r="C12" s="19" t="s">
        <v>155</v>
      </c>
      <c r="D12" s="19" t="s">
        <v>134</v>
      </c>
      <c r="E12" s="19" t="s">
        <v>170</v>
      </c>
      <c r="F12" s="19" t="s">
        <v>171</v>
      </c>
      <c r="G12" s="19" t="s">
        <v>172</v>
      </c>
      <c r="H12" s="19" t="s">
        <v>123</v>
      </c>
      <c r="I12" s="19" t="s">
        <v>173</v>
      </c>
    </row>
    <row r="13" customFormat="false" ht="30" hidden="false" customHeight="true" outlineLevel="0" collapsed="false">
      <c r="A13" s="20" t="s">
        <v>174</v>
      </c>
      <c r="B13" s="21" t="s">
        <v>154</v>
      </c>
      <c r="C13" s="21" t="s">
        <v>155</v>
      </c>
      <c r="D13" s="21" t="s">
        <v>119</v>
      </c>
      <c r="E13" s="21" t="s">
        <v>175</v>
      </c>
      <c r="F13" s="21" t="s">
        <v>176</v>
      </c>
      <c r="G13" s="21" t="s">
        <v>177</v>
      </c>
      <c r="H13" s="21" t="s">
        <v>123</v>
      </c>
      <c r="I13" s="21" t="s">
        <v>178</v>
      </c>
    </row>
    <row r="14" customFormat="false" ht="30" hidden="false" customHeight="true" outlineLevel="0" collapsed="false">
      <c r="A14" s="18" t="s">
        <v>179</v>
      </c>
      <c r="B14" s="19" t="s">
        <v>154</v>
      </c>
      <c r="C14" s="19" t="s">
        <v>180</v>
      </c>
      <c r="D14" s="19" t="s">
        <v>127</v>
      </c>
      <c r="E14" s="19" t="s">
        <v>181</v>
      </c>
      <c r="F14" s="19" t="s">
        <v>182</v>
      </c>
      <c r="G14" s="19" t="s">
        <v>183</v>
      </c>
      <c r="H14" s="19" t="s">
        <v>151</v>
      </c>
      <c r="I14" s="19" t="s">
        <v>184</v>
      </c>
    </row>
    <row r="15" customFormat="false" ht="30" hidden="false" customHeight="true" outlineLevel="0" collapsed="false">
      <c r="A15" s="20" t="s">
        <v>185</v>
      </c>
      <c r="B15" s="21" t="s">
        <v>154</v>
      </c>
      <c r="C15" s="21" t="s">
        <v>155</v>
      </c>
      <c r="D15" s="21" t="s">
        <v>134</v>
      </c>
      <c r="E15" s="21" t="s">
        <v>135</v>
      </c>
      <c r="F15" s="21" t="s">
        <v>186</v>
      </c>
      <c r="G15" s="21" t="s">
        <v>187</v>
      </c>
      <c r="H15" s="21" t="s">
        <v>123</v>
      </c>
      <c r="I15" s="21" t="s">
        <v>188</v>
      </c>
    </row>
    <row r="16" customFormat="false" ht="15" hidden="false" customHeight="true" outlineLevel="0" collapsed="false">
      <c r="A16" s="21"/>
      <c r="B16" s="21"/>
      <c r="C16" s="21"/>
      <c r="D16" s="21"/>
      <c r="E16" s="21"/>
      <c r="F16" s="21"/>
      <c r="G16" s="21"/>
      <c r="H16" s="21"/>
      <c r="I16" s="21"/>
    </row>
    <row r="17" customFormat="false" ht="15" hidden="false" customHeight="true" outlineLevel="0" collapsed="false">
      <c r="A17" s="21"/>
      <c r="B17" s="21"/>
      <c r="C17" s="21"/>
      <c r="D17" s="21"/>
      <c r="E17" s="21"/>
      <c r="F17" s="21"/>
      <c r="G17" s="21"/>
      <c r="H17" s="21"/>
      <c r="I17" s="21"/>
    </row>
    <row r="18" customFormat="false" ht="15" hidden="false" customHeight="true" outlineLevel="0" collapsed="false">
      <c r="A18" s="21"/>
      <c r="B18" s="21"/>
      <c r="C18" s="21"/>
      <c r="D18" s="21"/>
      <c r="E18" s="21"/>
      <c r="F18" s="21"/>
      <c r="G18" s="21"/>
      <c r="H18" s="21"/>
      <c r="I18" s="21"/>
    </row>
    <row r="19" customFormat="false" ht="15" hidden="false" customHeight="true" outlineLevel="0" collapsed="false">
      <c r="A19" s="21"/>
      <c r="B19" s="21"/>
      <c r="C19" s="21"/>
      <c r="D19" s="21"/>
      <c r="E19" s="21"/>
      <c r="F19" s="21"/>
      <c r="G19" s="21"/>
      <c r="H19" s="21"/>
      <c r="I19" s="21"/>
    </row>
    <row r="21" customFormat="false" ht="21.75" hidden="false" customHeight="true" outlineLevel="0" collapsed="false">
      <c r="A21" s="22" t="s">
        <v>189</v>
      </c>
      <c r="B21" s="22"/>
      <c r="C21" s="22"/>
      <c r="D21" s="22"/>
      <c r="E21" s="22"/>
      <c r="F21" s="22"/>
      <c r="G21" s="22"/>
      <c r="H21" s="22"/>
      <c r="I21" s="22"/>
    </row>
    <row r="22" customFormat="false" ht="15" hidden="false" customHeight="true" outlineLevel="0" collapsed="false">
      <c r="A22" s="14" t="s">
        <v>107</v>
      </c>
      <c r="B22" s="14" t="s">
        <v>108</v>
      </c>
      <c r="C22" s="14" t="s">
        <v>109</v>
      </c>
      <c r="D22" s="14" t="s">
        <v>110</v>
      </c>
      <c r="E22" s="14" t="s">
        <v>111</v>
      </c>
      <c r="F22" s="14" t="s">
        <v>112</v>
      </c>
      <c r="G22" s="14" t="s">
        <v>113</v>
      </c>
      <c r="H22" s="14" t="s">
        <v>114</v>
      </c>
      <c r="I22" s="14" t="s">
        <v>115</v>
      </c>
    </row>
    <row r="23" customFormat="false" ht="30" hidden="false" customHeight="true" outlineLevel="0" collapsed="false">
      <c r="A23" s="20" t="s">
        <v>190</v>
      </c>
      <c r="B23" s="21" t="s">
        <v>191</v>
      </c>
      <c r="C23" s="21" t="s">
        <v>192</v>
      </c>
      <c r="D23" s="21" t="s">
        <v>193</v>
      </c>
      <c r="E23" s="21"/>
      <c r="F23" s="21" t="s">
        <v>194</v>
      </c>
      <c r="G23" s="21" t="s">
        <v>195</v>
      </c>
      <c r="H23" s="21" t="s">
        <v>123</v>
      </c>
      <c r="I23" s="21" t="s">
        <v>196</v>
      </c>
    </row>
    <row r="24" customFormat="false" ht="30" hidden="false" customHeight="true" outlineLevel="0" collapsed="false">
      <c r="A24" s="3" t="s">
        <v>197</v>
      </c>
      <c r="B24" s="23" t="s">
        <v>191</v>
      </c>
      <c r="C24" s="23" t="s">
        <v>198</v>
      </c>
      <c r="D24" s="23" t="s">
        <v>199</v>
      </c>
      <c r="E24" s="23" t="s">
        <v>200</v>
      </c>
      <c r="F24" s="23" t="s">
        <v>201</v>
      </c>
      <c r="G24" s="23" t="s">
        <v>202</v>
      </c>
      <c r="H24" s="23" t="s">
        <v>123</v>
      </c>
      <c r="I24" s="23" t="s">
        <v>203</v>
      </c>
    </row>
    <row r="25" customFormat="false" ht="30" hidden="false" customHeight="true" outlineLevel="0" collapsed="false">
      <c r="A25" s="20" t="s">
        <v>204</v>
      </c>
      <c r="B25" s="21" t="s">
        <v>191</v>
      </c>
      <c r="C25" s="21" t="s">
        <v>205</v>
      </c>
      <c r="D25" s="21" t="s">
        <v>206</v>
      </c>
      <c r="E25" s="21"/>
      <c r="F25" s="21" t="s">
        <v>207</v>
      </c>
      <c r="G25" s="21" t="s">
        <v>208</v>
      </c>
      <c r="H25" s="21" t="s">
        <v>123</v>
      </c>
      <c r="I25" s="21" t="s">
        <v>209</v>
      </c>
    </row>
    <row r="26" customFormat="false" ht="30" hidden="false" customHeight="true" outlineLevel="0" collapsed="false">
      <c r="A26" s="3" t="s">
        <v>210</v>
      </c>
      <c r="B26" s="23" t="s">
        <v>191</v>
      </c>
      <c r="C26" s="23" t="s">
        <v>211</v>
      </c>
      <c r="D26" s="23" t="s">
        <v>212</v>
      </c>
      <c r="E26" s="23"/>
      <c r="F26" s="23" t="s">
        <v>213</v>
      </c>
      <c r="G26" s="23" t="s">
        <v>214</v>
      </c>
      <c r="H26" s="23" t="s">
        <v>123</v>
      </c>
      <c r="I26" s="23" t="s">
        <v>215</v>
      </c>
    </row>
  </sheetData>
  <mergeCells count="3">
    <mergeCell ref="A1:I1"/>
    <mergeCell ref="A2:I2"/>
    <mergeCell ref="A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70"/>
  </cols>
  <sheetData>
    <row r="1" customFormat="false" ht="30" hidden="false" customHeight="true" outlineLevel="0" collapsed="false">
      <c r="A1" s="2" t="s">
        <v>216</v>
      </c>
      <c r="B1" s="2"/>
      <c r="C1" s="2"/>
      <c r="D1" s="2"/>
    </row>
    <row r="3" customFormat="false" ht="21.75" hidden="false" customHeight="true" outlineLevel="0" collapsed="false">
      <c r="A3" s="5" t="s">
        <v>217</v>
      </c>
      <c r="B3" s="5"/>
      <c r="C3" s="5"/>
      <c r="D3" s="5"/>
    </row>
    <row r="4" customFormat="false" ht="15" hidden="false" customHeight="true" outlineLevel="0" collapsed="false">
      <c r="B4" s="14" t="s">
        <v>218</v>
      </c>
      <c r="C4" s="14" t="s">
        <v>219</v>
      </c>
      <c r="D4" s="14" t="s">
        <v>220</v>
      </c>
    </row>
    <row r="5" customFormat="false" ht="25.5" hidden="false" customHeight="true" outlineLevel="0" collapsed="false">
      <c r="B5" s="20" t="s">
        <v>119</v>
      </c>
      <c r="C5" s="21" t="s">
        <v>221</v>
      </c>
      <c r="D5" s="21" t="s">
        <v>222</v>
      </c>
    </row>
    <row r="6" customFormat="false" ht="25.5" hidden="false" customHeight="true" outlineLevel="0" collapsed="false">
      <c r="B6" s="18" t="s">
        <v>127</v>
      </c>
      <c r="C6" s="19" t="s">
        <v>223</v>
      </c>
      <c r="D6" s="19" t="s">
        <v>224</v>
      </c>
    </row>
    <row r="7" customFormat="false" ht="25.5" hidden="false" customHeight="true" outlineLevel="0" collapsed="false">
      <c r="B7" s="20" t="s">
        <v>134</v>
      </c>
      <c r="C7" s="21" t="s">
        <v>225</v>
      </c>
      <c r="D7" s="21" t="s">
        <v>226</v>
      </c>
    </row>
    <row r="8" customFormat="false" ht="25.5" hidden="false" customHeight="true" outlineLevel="0" collapsed="false">
      <c r="B8" s="18" t="s">
        <v>227</v>
      </c>
      <c r="C8" s="19" t="s">
        <v>228</v>
      </c>
      <c r="D8" s="19" t="s">
        <v>229</v>
      </c>
    </row>
    <row r="9" customFormat="false" ht="25.5" hidden="false" customHeight="true" outlineLevel="0" collapsed="false"/>
    <row r="10" customFormat="false" ht="25.5" hidden="false" customHeight="true" outlineLevel="0" collapsed="false"/>
    <row r="11" customFormat="false" ht="25.5" hidden="false" customHeight="true" outlineLevel="0" collapsed="false">
      <c r="A11" s="24" t="s">
        <v>230</v>
      </c>
    </row>
    <row r="12" customFormat="false" ht="25.5" hidden="false" customHeight="true" outlineLevel="0" collapsed="false">
      <c r="B12" s="14" t="s">
        <v>218</v>
      </c>
      <c r="C12" s="14" t="s">
        <v>219</v>
      </c>
      <c r="D12" s="14" t="s">
        <v>231</v>
      </c>
    </row>
    <row r="13" customFormat="false" ht="15" hidden="false" customHeight="true" outlineLevel="0" collapsed="false">
      <c r="B13" s="20" t="s">
        <v>232</v>
      </c>
      <c r="C13" s="21" t="s">
        <v>233</v>
      </c>
      <c r="D13" s="21" t="s">
        <v>234</v>
      </c>
    </row>
    <row r="14" customFormat="false" ht="21.75" hidden="false" customHeight="true" outlineLevel="0" collapsed="false">
      <c r="A14" s="25"/>
      <c r="B14" s="25"/>
      <c r="C14" s="25"/>
      <c r="D14" s="25"/>
    </row>
    <row r="15" customFormat="false" ht="15" hidden="false" customHeight="true" outlineLevel="0" collapsed="false">
      <c r="B15" s="20" t="s">
        <v>235</v>
      </c>
      <c r="C15" s="21" t="s">
        <v>236</v>
      </c>
      <c r="D15" s="21" t="s">
        <v>237</v>
      </c>
    </row>
    <row r="16" customFormat="false" ht="24" hidden="false" customHeight="true" outlineLevel="0" collapsed="false">
      <c r="B16" s="18" t="s">
        <v>238</v>
      </c>
      <c r="C16" s="19" t="s">
        <v>239</v>
      </c>
      <c r="D16" s="19" t="s">
        <v>240</v>
      </c>
    </row>
    <row r="17" customFormat="false" ht="24" hidden="false" customHeight="true" outlineLevel="0" collapsed="false">
      <c r="B17" s="20" t="s">
        <v>241</v>
      </c>
      <c r="C17" s="21" t="s">
        <v>242</v>
      </c>
      <c r="D17" s="21" t="s">
        <v>243</v>
      </c>
    </row>
    <row r="18" customFormat="false" ht="24" hidden="false" customHeight="true" outlineLevel="0" collapsed="false">
      <c r="B18" s="18" t="s">
        <v>244</v>
      </c>
      <c r="C18" s="19" t="s">
        <v>245</v>
      </c>
      <c r="D18" s="19" t="s">
        <v>246</v>
      </c>
    </row>
    <row r="19" customFormat="false" ht="24" hidden="false" customHeight="true" outlineLevel="0" collapsed="false">
      <c r="B19" s="20" t="s">
        <v>247</v>
      </c>
      <c r="C19" s="21" t="s">
        <v>248</v>
      </c>
      <c r="D19" s="21" t="s">
        <v>249</v>
      </c>
    </row>
    <row r="20" customFormat="false" ht="24" hidden="false" customHeight="true" outlineLevel="0" collapsed="false">
      <c r="B20" s="18" t="s">
        <v>250</v>
      </c>
      <c r="C20" s="19" t="s">
        <v>251</v>
      </c>
      <c r="D20" s="19" t="s">
        <v>252</v>
      </c>
    </row>
    <row r="21" customFormat="false" ht="24" hidden="false" customHeight="true" outlineLevel="0" collapsed="false"/>
    <row r="22" customFormat="false" ht="24" hidden="false" customHeight="true" outlineLevel="0" collapsed="false">
      <c r="A22" s="24" t="s">
        <v>253</v>
      </c>
    </row>
    <row r="23" customFormat="false" ht="24" hidden="false" customHeight="true" outlineLevel="0" collapsed="false">
      <c r="B23" s="14" t="s">
        <v>218</v>
      </c>
      <c r="C23" s="14" t="s">
        <v>219</v>
      </c>
      <c r="D23" s="14" t="s">
        <v>254</v>
      </c>
    </row>
    <row r="24" customFormat="false" ht="24" hidden="false" customHeight="true" outlineLevel="0" collapsed="false">
      <c r="B24" s="20" t="s">
        <v>255</v>
      </c>
      <c r="C24" s="21" t="s">
        <v>256</v>
      </c>
      <c r="D24" s="21" t="s">
        <v>257</v>
      </c>
    </row>
    <row r="25" customFormat="false" ht="24" hidden="false" customHeight="true" outlineLevel="0" collapsed="false">
      <c r="B25" s="18" t="s">
        <v>258</v>
      </c>
      <c r="C25" s="19" t="s">
        <v>259</v>
      </c>
      <c r="D25" s="19" t="s">
        <v>260</v>
      </c>
    </row>
    <row r="26" customFormat="false" ht="15" hidden="false" customHeight="true" outlineLevel="0" collapsed="false">
      <c r="B26" s="20" t="s">
        <v>261</v>
      </c>
      <c r="C26" s="21" t="s">
        <v>236</v>
      </c>
      <c r="D26" s="21" t="s">
        <v>262</v>
      </c>
    </row>
    <row r="27" customFormat="false" ht="21.75" hidden="false" customHeight="true" outlineLevel="0" collapsed="false">
      <c r="A27" s="25"/>
      <c r="B27" s="25"/>
      <c r="C27" s="25"/>
      <c r="D27" s="25"/>
    </row>
    <row r="28" customFormat="false" ht="15" hidden="false" customHeight="true" outlineLevel="0" collapsed="false">
      <c r="B28" s="20" t="s">
        <v>263</v>
      </c>
      <c r="C28" s="21" t="s">
        <v>242</v>
      </c>
      <c r="D28" s="21" t="s">
        <v>243</v>
      </c>
    </row>
    <row r="29" customFormat="false" ht="24" hidden="false" customHeight="true" outlineLevel="0" collapsed="false">
      <c r="B29" s="18" t="s">
        <v>264</v>
      </c>
      <c r="C29" s="19" t="s">
        <v>265</v>
      </c>
      <c r="D29" s="19" t="s">
        <v>266</v>
      </c>
    </row>
    <row r="30" customFormat="false" ht="24" hidden="false" customHeight="true" outlineLevel="0" collapsed="false">
      <c r="B30" s="20" t="s">
        <v>267</v>
      </c>
      <c r="C30" s="21" t="s">
        <v>248</v>
      </c>
      <c r="D30" s="21" t="s">
        <v>268</v>
      </c>
    </row>
    <row r="31" customFormat="false" ht="24" hidden="false" customHeight="true" outlineLevel="0" collapsed="false">
      <c r="B31" s="18" t="s">
        <v>269</v>
      </c>
      <c r="C31" s="19" t="s">
        <v>270</v>
      </c>
      <c r="D31" s="19" t="s">
        <v>271</v>
      </c>
    </row>
    <row r="32" customFormat="false" ht="24" hidden="false" customHeight="true" outlineLevel="0" collapsed="false">
      <c r="B32" s="20" t="s">
        <v>272</v>
      </c>
      <c r="C32" s="21" t="s">
        <v>273</v>
      </c>
      <c r="D32" s="21" t="s">
        <v>274</v>
      </c>
    </row>
    <row r="33" customFormat="false" ht="24" hidden="false" customHeight="true" outlineLevel="0" collapsed="false">
      <c r="B33" s="18" t="s">
        <v>275</v>
      </c>
      <c r="C33" s="19" t="s">
        <v>276</v>
      </c>
      <c r="D33" s="19" t="s">
        <v>277</v>
      </c>
    </row>
    <row r="34" customFormat="false" ht="24" hidden="false" customHeight="true" outlineLevel="0" collapsed="false"/>
    <row r="35" customFormat="false" ht="15" hidden="false" customHeight="true" outlineLevel="0" collapsed="false">
      <c r="A35" s="24" t="s">
        <v>278</v>
      </c>
    </row>
    <row r="36" customFormat="false" ht="15" hidden="false" customHeight="true" outlineLevel="0" collapsed="false">
      <c r="B36" s="14" t="s">
        <v>218</v>
      </c>
      <c r="C36" s="14" t="s">
        <v>219</v>
      </c>
      <c r="D36" s="14" t="s">
        <v>254</v>
      </c>
    </row>
    <row r="37" customFormat="false" ht="15" hidden="false" customHeight="true" outlineLevel="0" collapsed="false">
      <c r="B37" s="20" t="s">
        <v>193</v>
      </c>
      <c r="C37" s="21" t="s">
        <v>279</v>
      </c>
      <c r="D37" s="21" t="s">
        <v>280</v>
      </c>
    </row>
    <row r="38" customFormat="false" ht="15" hidden="false" customHeight="true" outlineLevel="0" collapsed="false">
      <c r="B38" s="18" t="s">
        <v>199</v>
      </c>
      <c r="C38" s="19" t="s">
        <v>281</v>
      </c>
      <c r="D38" s="19" t="s">
        <v>282</v>
      </c>
    </row>
    <row r="39" customFormat="false" ht="15" hidden="false" customHeight="true" outlineLevel="0" collapsed="false">
      <c r="B39" s="20" t="s">
        <v>283</v>
      </c>
      <c r="C39" s="21" t="s">
        <v>284</v>
      </c>
      <c r="D39" s="21" t="s">
        <v>285</v>
      </c>
    </row>
    <row r="40" customFormat="false" ht="15" hidden="false" customHeight="true" outlineLevel="0" collapsed="false">
      <c r="B40" s="18" t="s">
        <v>200</v>
      </c>
      <c r="C40" s="19" t="s">
        <v>286</v>
      </c>
      <c r="D40" s="19" t="s">
        <v>287</v>
      </c>
    </row>
    <row r="41" customFormat="false" ht="15" hidden="false" customHeight="true" outlineLevel="0" collapsed="false">
      <c r="B41" s="20" t="s">
        <v>206</v>
      </c>
      <c r="C41" s="21" t="s">
        <v>288</v>
      </c>
      <c r="D41" s="21" t="s">
        <v>289</v>
      </c>
    </row>
    <row r="42" customFormat="false" ht="15" hidden="false" customHeight="true" outlineLevel="0" collapsed="false">
      <c r="B42" s="18" t="s">
        <v>212</v>
      </c>
      <c r="C42" s="19" t="s">
        <v>290</v>
      </c>
      <c r="D42" s="19" t="s">
        <v>291</v>
      </c>
    </row>
  </sheetData>
  <mergeCells count="4">
    <mergeCell ref="A1:D1"/>
    <mergeCell ref="A3:D3"/>
    <mergeCell ref="A14:D14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2"/>
  </cols>
  <sheetData>
    <row r="1" customFormat="false" ht="30" hidden="false" customHeight="true" outlineLevel="0" collapsed="false">
      <c r="A1" s="2" t="s">
        <v>292</v>
      </c>
      <c r="B1" s="2"/>
      <c r="C1" s="2"/>
    </row>
    <row r="3" customFormat="false" ht="21.75" hidden="false" customHeight="true" outlineLevel="0" collapsed="false">
      <c r="A3" s="5" t="s">
        <v>293</v>
      </c>
      <c r="B3" s="5"/>
      <c r="C3" s="5"/>
    </row>
    <row r="4" customFormat="false" ht="15" hidden="false" customHeight="true" outlineLevel="0" collapsed="false">
      <c r="B4" s="26" t="s">
        <v>294</v>
      </c>
      <c r="C4" s="26" t="s">
        <v>295</v>
      </c>
    </row>
    <row r="5" customFormat="false" ht="15" hidden="false" customHeight="true" outlineLevel="0" collapsed="false">
      <c r="B5" s="27" t="s">
        <v>296</v>
      </c>
      <c r="C5" s="28" t="n">
        <f aca="false">LEN(B5)</f>
        <v>24</v>
      </c>
    </row>
    <row r="6" customFormat="false" ht="15" hidden="false" customHeight="true" outlineLevel="0" collapsed="false">
      <c r="B6" s="29" t="s">
        <v>297</v>
      </c>
      <c r="C6" s="30" t="n">
        <f aca="false">LEN(B6)</f>
        <v>19</v>
      </c>
    </row>
    <row r="7" customFormat="false" ht="15" hidden="false" customHeight="true" outlineLevel="0" collapsed="false">
      <c r="B7" s="27" t="s">
        <v>298</v>
      </c>
      <c r="C7" s="28" t="n">
        <f aca="false">LEN(B7)</f>
        <v>29</v>
      </c>
    </row>
    <row r="8" customFormat="false" ht="15" hidden="false" customHeight="true" outlineLevel="0" collapsed="false">
      <c r="B8" s="29" t="s">
        <v>299</v>
      </c>
      <c r="C8" s="30" t="n">
        <f aca="false">LEN(B8)</f>
        <v>24</v>
      </c>
    </row>
    <row r="9" customFormat="false" ht="15" hidden="false" customHeight="true" outlineLevel="0" collapsed="false">
      <c r="B9" s="27" t="s">
        <v>300</v>
      </c>
      <c r="C9" s="28" t="n">
        <f aca="false">LEN(B9)</f>
        <v>23</v>
      </c>
    </row>
    <row r="10" customFormat="false" ht="15" hidden="false" customHeight="true" outlineLevel="0" collapsed="false">
      <c r="B10" s="29" t="s">
        <v>301</v>
      </c>
      <c r="C10" s="30" t="n">
        <f aca="false">LEN(B10)</f>
        <v>19</v>
      </c>
    </row>
    <row r="11" customFormat="false" ht="15" hidden="false" customHeight="true" outlineLevel="0" collapsed="false">
      <c r="B11" s="27" t="s">
        <v>302</v>
      </c>
      <c r="C11" s="28" t="n">
        <f aca="false">LEN(B11)</f>
        <v>21</v>
      </c>
    </row>
    <row r="12" customFormat="false" ht="15" hidden="false" customHeight="true" outlineLevel="0" collapsed="false">
      <c r="B12" s="29" t="s">
        <v>303</v>
      </c>
      <c r="C12" s="30" t="n">
        <f aca="false">LEN(B12)</f>
        <v>23</v>
      </c>
    </row>
    <row r="14" customFormat="false" ht="21.75" hidden="false" customHeight="true" outlineLevel="0" collapsed="false">
      <c r="A14" s="5" t="s">
        <v>304</v>
      </c>
      <c r="B14" s="5"/>
      <c r="C14" s="5"/>
    </row>
    <row r="15" customFormat="false" ht="15" hidden="false" customHeight="true" outlineLevel="0" collapsed="false">
      <c r="B15" s="14" t="s">
        <v>294</v>
      </c>
      <c r="C15" s="14" t="s">
        <v>295</v>
      </c>
    </row>
    <row r="16" customFormat="false" ht="15" hidden="false" customHeight="true" outlineLevel="0" collapsed="false">
      <c r="B16" s="21" t="s">
        <v>305</v>
      </c>
      <c r="C16" s="31" t="n">
        <f aca="false">LEN(B5)</f>
        <v>24</v>
      </c>
    </row>
    <row r="17" customFormat="false" ht="15" hidden="false" customHeight="true" outlineLevel="0" collapsed="false">
      <c r="B17" s="19" t="s">
        <v>306</v>
      </c>
      <c r="C17" s="32" t="n">
        <f aca="false">LEN(B6)</f>
        <v>19</v>
      </c>
    </row>
    <row r="18" customFormat="false" ht="15" hidden="false" customHeight="true" outlineLevel="0" collapsed="false">
      <c r="B18" s="21" t="s">
        <v>307</v>
      </c>
      <c r="C18" s="31" t="n">
        <f aca="false">LEN(B7)</f>
        <v>29</v>
      </c>
    </row>
    <row r="19" customFormat="false" ht="15" hidden="false" customHeight="true" outlineLevel="0" collapsed="false">
      <c r="B19" s="19" t="s">
        <v>308</v>
      </c>
      <c r="C19" s="32" t="n">
        <f aca="false">LEN(B8)</f>
        <v>24</v>
      </c>
    </row>
    <row r="20" customFormat="false" ht="15" hidden="false" customHeight="true" outlineLevel="0" collapsed="false">
      <c r="B20" s="21" t="s">
        <v>309</v>
      </c>
      <c r="C20" s="31" t="n">
        <f aca="false">LEN(B9)</f>
        <v>23</v>
      </c>
    </row>
    <row r="21" customFormat="false" ht="15" hidden="false" customHeight="true" outlineLevel="0" collapsed="false">
      <c r="B21" s="19" t="s">
        <v>310</v>
      </c>
      <c r="C21" s="32" t="n">
        <f aca="false">LEN(B10)</f>
        <v>19</v>
      </c>
    </row>
    <row r="22" customFormat="false" ht="15" hidden="false" customHeight="true" outlineLevel="0" collapsed="false">
      <c r="B22" s="21" t="s">
        <v>311</v>
      </c>
      <c r="C22" s="31" t="n">
        <f aca="false">LEN(B11)</f>
        <v>21</v>
      </c>
    </row>
    <row r="23" customFormat="false" ht="15" hidden="false" customHeight="true" outlineLevel="0" collapsed="false">
      <c r="B23" s="19" t="s">
        <v>312</v>
      </c>
      <c r="C23" s="32" t="n">
        <f aca="false">LEN(B12)</f>
        <v>23</v>
      </c>
    </row>
    <row r="24" customFormat="false" ht="15" hidden="false" customHeight="true" outlineLevel="0" collapsed="false"/>
    <row r="25" customFormat="false" ht="15" hidden="false" customHeight="false" outlineLevel="0" collapsed="false">
      <c r="A25" s="24" t="s">
        <v>313</v>
      </c>
    </row>
    <row r="26" customFormat="false" ht="21.75" hidden="false" customHeight="true" outlineLevel="0" collapsed="false">
      <c r="A26" s="25"/>
      <c r="B26" s="25" t="s">
        <v>294</v>
      </c>
      <c r="C26" s="25" t="s">
        <v>295</v>
      </c>
    </row>
    <row r="27" customFormat="false" ht="15" hidden="false" customHeight="true" outlineLevel="0" collapsed="false">
      <c r="B27" s="21" t="s">
        <v>314</v>
      </c>
      <c r="C27" s="31" t="n">
        <f aca="false">LEN(B16)</f>
        <v>16</v>
      </c>
    </row>
    <row r="28" customFormat="false" ht="15" hidden="false" customHeight="true" outlineLevel="0" collapsed="false">
      <c r="B28" s="19" t="s">
        <v>315</v>
      </c>
      <c r="C28" s="32" t="n">
        <f aca="false">LEN(B17)</f>
        <v>24</v>
      </c>
    </row>
    <row r="29" customFormat="false" ht="15" hidden="false" customHeight="true" outlineLevel="0" collapsed="false">
      <c r="B29" s="21" t="s">
        <v>316</v>
      </c>
      <c r="C29" s="31" t="n">
        <f aca="false">LEN(B18)</f>
        <v>16</v>
      </c>
    </row>
    <row r="30" customFormat="false" ht="15" hidden="false" customHeight="true" outlineLevel="0" collapsed="false">
      <c r="B30" s="19" t="s">
        <v>317</v>
      </c>
      <c r="C30" s="32" t="n">
        <f aca="false">LEN(B19)</f>
        <v>19</v>
      </c>
    </row>
    <row r="31" customFormat="false" ht="15" hidden="false" customHeight="true" outlineLevel="0" collapsed="false">
      <c r="B31" s="21" t="s">
        <v>318</v>
      </c>
      <c r="C31" s="31" t="n">
        <f aca="false">LEN(B20)</f>
        <v>18</v>
      </c>
    </row>
    <row r="32" customFormat="false" ht="15" hidden="false" customHeight="true" outlineLevel="0" collapsed="false">
      <c r="B32" s="19" t="s">
        <v>319</v>
      </c>
      <c r="C32" s="32" t="n">
        <f aca="false">LEN(B21)</f>
        <v>16</v>
      </c>
    </row>
    <row r="33" customFormat="false" ht="15" hidden="false" customHeight="true" outlineLevel="0" collapsed="false">
      <c r="B33" s="21" t="s">
        <v>320</v>
      </c>
      <c r="C33" s="31" t="n">
        <f aca="false">LEN(B22)</f>
        <v>18</v>
      </c>
    </row>
    <row r="34" customFormat="false" ht="15" hidden="false" customHeight="false" outlineLevel="0" collapsed="false">
      <c r="B34" s="19" t="s">
        <v>321</v>
      </c>
      <c r="C34" s="32" t="n">
        <f aca="false">LEN(B23)</f>
        <v>18</v>
      </c>
    </row>
    <row r="35" customFormat="false" ht="21.75" hidden="false" customHeight="true" outlineLevel="0" collapsed="false">
      <c r="A35" s="25"/>
      <c r="B35" s="25" t="s">
        <v>322</v>
      </c>
      <c r="C35" s="25" t="n">
        <f aca="false">LEN(B24)</f>
        <v>0</v>
      </c>
    </row>
    <row r="36" customFormat="false" ht="15" hidden="false" customHeight="true" outlineLevel="0" collapsed="false"/>
    <row r="37" customFormat="false" ht="15" hidden="false" customHeight="true" outlineLevel="0" collapsed="false">
      <c r="A37" s="24" t="s">
        <v>323</v>
      </c>
    </row>
    <row r="38" customFormat="false" ht="15" hidden="false" customHeight="true" outlineLevel="0" collapsed="false">
      <c r="B38" s="14" t="s">
        <v>294</v>
      </c>
      <c r="C38" s="14" t="s">
        <v>295</v>
      </c>
    </row>
    <row r="39" customFormat="false" ht="15" hidden="false" customHeight="true" outlineLevel="0" collapsed="false">
      <c r="B39" s="21" t="s">
        <v>324</v>
      </c>
      <c r="C39" s="31" t="n">
        <f aca="false">LEN(B28)</f>
        <v>21</v>
      </c>
    </row>
    <row r="40" customFormat="false" ht="15" hidden="false" customHeight="true" outlineLevel="0" collapsed="false">
      <c r="B40" s="19" t="s">
        <v>325</v>
      </c>
      <c r="C40" s="32" t="n">
        <f aca="false">LEN(B29)</f>
        <v>24</v>
      </c>
    </row>
    <row r="41" customFormat="false" ht="15" hidden="false" customHeight="false" outlineLevel="0" collapsed="false">
      <c r="B41" s="21" t="s">
        <v>326</v>
      </c>
      <c r="C41" s="31" t="n">
        <f aca="false">LEN(B30)</f>
        <v>23</v>
      </c>
    </row>
    <row r="42" customFormat="false" ht="21.75" hidden="false" customHeight="true" outlineLevel="0" collapsed="false">
      <c r="A42" s="25"/>
      <c r="B42" s="25" t="s">
        <v>327</v>
      </c>
      <c r="C42" s="25" t="n">
        <f aca="false">LEN(B31)</f>
        <v>17</v>
      </c>
    </row>
    <row r="43" customFormat="false" ht="15" hidden="false" customHeight="true" outlineLevel="0" collapsed="false">
      <c r="B43" s="21" t="s">
        <v>328</v>
      </c>
      <c r="C43" s="31" t="n">
        <f aca="false">LEN(B32)</f>
        <v>28</v>
      </c>
    </row>
    <row r="44" customFormat="false" ht="15" hidden="false" customHeight="true" outlineLevel="0" collapsed="false">
      <c r="B44" s="19" t="s">
        <v>329</v>
      </c>
      <c r="C44" s="32" t="n">
        <f aca="false">LEN(B33)</f>
        <v>18</v>
      </c>
    </row>
    <row r="45" customFormat="false" ht="15" hidden="false" customHeight="true" outlineLevel="0" collapsed="false"/>
    <row r="46" customFormat="false" ht="15" hidden="false" customHeight="true" outlineLevel="0" collapsed="false">
      <c r="A46" s="24" t="s">
        <v>330</v>
      </c>
    </row>
    <row r="47" customFormat="false" ht="15" hidden="false" customHeight="true" outlineLevel="0" collapsed="false">
      <c r="B47" s="14" t="s">
        <v>294</v>
      </c>
      <c r="C47" s="14" t="s">
        <v>295</v>
      </c>
    </row>
    <row r="48" customFormat="false" ht="15" hidden="false" customHeight="true" outlineLevel="0" collapsed="false">
      <c r="B48" s="21" t="s">
        <v>331</v>
      </c>
      <c r="C48" s="31" t="n">
        <f aca="false">LEN(B37)</f>
        <v>0</v>
      </c>
    </row>
    <row r="49" customFormat="false" ht="15" hidden="false" customHeight="true" outlineLevel="0" collapsed="false">
      <c r="B49" s="19" t="s">
        <v>332</v>
      </c>
      <c r="C49" s="32" t="n">
        <f aca="false">LEN(B38)</f>
        <v>8</v>
      </c>
    </row>
    <row r="50" customFormat="false" ht="15" hidden="false" customHeight="false" outlineLevel="0" collapsed="false">
      <c r="B50" s="21" t="s">
        <v>333</v>
      </c>
      <c r="C50" s="31" t="n">
        <f aca="false">LEN(B39)</f>
        <v>30</v>
      </c>
    </row>
    <row r="51" customFormat="false" ht="15" hidden="false" customHeight="false" outlineLevel="0" collapsed="false">
      <c r="B51" s="19" t="s">
        <v>334</v>
      </c>
      <c r="C51" s="32" t="n">
        <f aca="false">LEN(B40)</f>
        <v>29</v>
      </c>
    </row>
    <row r="53" customFormat="false" ht="15" hidden="false" customHeight="false" outlineLevel="0" collapsed="false">
      <c r="A53" s="24" t="s">
        <v>335</v>
      </c>
    </row>
    <row r="54" customFormat="false" ht="15" hidden="false" customHeight="false" outlineLevel="0" collapsed="false">
      <c r="B54" s="14" t="s">
        <v>294</v>
      </c>
      <c r="C54" s="14" t="s">
        <v>295</v>
      </c>
    </row>
    <row r="55" customFormat="false" ht="15" hidden="false" customHeight="false" outlineLevel="0" collapsed="false">
      <c r="B55" s="21" t="s">
        <v>336</v>
      </c>
      <c r="C55" s="31" t="n">
        <f aca="false">LEN(B44)</f>
        <v>22</v>
      </c>
    </row>
    <row r="56" customFormat="false" ht="15" hidden="false" customHeight="false" outlineLevel="0" collapsed="false">
      <c r="B56" s="19" t="s">
        <v>337</v>
      </c>
      <c r="C56" s="32" t="n">
        <f aca="false">LEN(B45)</f>
        <v>0</v>
      </c>
    </row>
    <row r="57" customFormat="false" ht="15" hidden="false" customHeight="false" outlineLevel="0" collapsed="false">
      <c r="B57" s="21" t="s">
        <v>338</v>
      </c>
      <c r="C57" s="31" t="n">
        <f aca="false">LEN(B46)</f>
        <v>0</v>
      </c>
    </row>
    <row r="58" customFormat="false" ht="15" hidden="false" customHeight="false" outlineLevel="0" collapsed="false">
      <c r="B58" s="19" t="s">
        <v>339</v>
      </c>
      <c r="C58" s="32" t="n">
        <f aca="false">LEN(B47)</f>
        <v>8</v>
      </c>
    </row>
    <row r="59" customFormat="false" ht="15" hidden="false" customHeight="false" outlineLevel="0" collapsed="false">
      <c r="B59" s="21" t="s">
        <v>340</v>
      </c>
      <c r="C59" s="31" t="n">
        <f aca="false">LEN(B48)</f>
        <v>17</v>
      </c>
    </row>
    <row r="60" customFormat="false" ht="15" hidden="false" customHeight="false" outlineLevel="0" collapsed="false">
      <c r="B60" s="19" t="s">
        <v>341</v>
      </c>
      <c r="C60" s="32" t="n">
        <f aca="false">LEN(B49)</f>
        <v>13</v>
      </c>
    </row>
  </sheetData>
  <mergeCells count="6">
    <mergeCell ref="A1:C1"/>
    <mergeCell ref="A3:C3"/>
    <mergeCell ref="A14:C14"/>
    <mergeCell ref="A26:C26"/>
    <mergeCell ref="A35:C35"/>
    <mergeCell ref="A42:C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20"/>
    <col collapsed="false" customWidth="true" hidden="false" outlineLevel="0" max="4" min="4" style="1" width="46"/>
  </cols>
  <sheetData>
    <row r="1" customFormat="false" ht="30" hidden="false" customHeight="true" outlineLevel="0" collapsed="false">
      <c r="A1" s="2" t="s">
        <v>342</v>
      </c>
      <c r="B1" s="2"/>
      <c r="C1" s="2"/>
      <c r="D1" s="2"/>
    </row>
    <row r="3" customFormat="false" ht="21.75" hidden="false" customHeight="true" outlineLevel="0" collapsed="false">
      <c r="A3" s="5" t="s">
        <v>343</v>
      </c>
      <c r="B3" s="5"/>
      <c r="C3" s="5"/>
      <c r="D3" s="5"/>
    </row>
    <row r="4" customFormat="false" ht="15" hidden="false" customHeight="true" outlineLevel="0" collapsed="false">
      <c r="B4" s="14" t="s">
        <v>344</v>
      </c>
      <c r="C4" s="14" t="s">
        <v>345</v>
      </c>
      <c r="D4" s="14" t="s">
        <v>346</v>
      </c>
    </row>
    <row r="5" customFormat="false" ht="31.5" hidden="false" customHeight="true" outlineLevel="0" collapsed="false">
      <c r="B5" s="20" t="s">
        <v>347</v>
      </c>
      <c r="C5" s="21" t="s">
        <v>348</v>
      </c>
      <c r="D5" s="21" t="s">
        <v>349</v>
      </c>
    </row>
    <row r="6" customFormat="false" ht="31.5" hidden="false" customHeight="true" outlineLevel="0" collapsed="false">
      <c r="B6" s="18" t="s">
        <v>350</v>
      </c>
      <c r="C6" s="19" t="s">
        <v>351</v>
      </c>
      <c r="D6" s="19" t="s">
        <v>352</v>
      </c>
    </row>
    <row r="7" customFormat="false" ht="31.5" hidden="false" customHeight="true" outlineLevel="0" collapsed="false">
      <c r="B7" s="20" t="s">
        <v>353</v>
      </c>
      <c r="C7" s="21" t="s">
        <v>354</v>
      </c>
      <c r="D7" s="21" t="s">
        <v>355</v>
      </c>
    </row>
    <row r="8" customFormat="false" ht="31.5" hidden="false" customHeight="true" outlineLevel="0" collapsed="false">
      <c r="B8" s="18" t="s">
        <v>356</v>
      </c>
      <c r="C8" s="19" t="s">
        <v>357</v>
      </c>
      <c r="D8" s="19" t="s">
        <v>358</v>
      </c>
    </row>
    <row r="9" customFormat="false" ht="31.5" hidden="false" customHeight="true" outlineLevel="0" collapsed="false">
      <c r="B9" s="20" t="s">
        <v>359</v>
      </c>
      <c r="C9" s="21" t="s">
        <v>360</v>
      </c>
      <c r="D9" s="21" t="s">
        <v>361</v>
      </c>
    </row>
    <row r="11" customFormat="false" ht="21.75" hidden="false" customHeight="true" outlineLevel="0" collapsed="false">
      <c r="A11" s="5" t="s">
        <v>362</v>
      </c>
      <c r="B11" s="5"/>
      <c r="C11" s="5"/>
      <c r="D11" s="5"/>
    </row>
    <row r="12" customFormat="false" ht="25.5" hidden="false" customHeight="true" outlineLevel="0" collapsed="false">
      <c r="B12" s="21" t="s">
        <v>363</v>
      </c>
      <c r="C12" s="21"/>
      <c r="D12" s="21"/>
    </row>
    <row r="13" customFormat="false" ht="25.5" hidden="false" customHeight="true" outlineLevel="0" collapsed="false">
      <c r="B13" s="19" t="s">
        <v>364</v>
      </c>
      <c r="C13" s="19"/>
      <c r="D13" s="19"/>
    </row>
    <row r="14" customFormat="false" ht="25.5" hidden="false" customHeight="true" outlineLevel="0" collapsed="false">
      <c r="B14" s="21" t="s">
        <v>365</v>
      </c>
      <c r="C14" s="21"/>
      <c r="D14" s="21"/>
    </row>
    <row r="15" customFormat="false" ht="25.5" hidden="false" customHeight="true" outlineLevel="0" collapsed="false">
      <c r="B15" s="19" t="s">
        <v>366</v>
      </c>
      <c r="C15" s="19"/>
      <c r="D15" s="19"/>
    </row>
    <row r="16" customFormat="false" ht="25.5" hidden="false" customHeight="true" outlineLevel="0" collapsed="false">
      <c r="B16" s="21" t="s">
        <v>367</v>
      </c>
      <c r="C16" s="21"/>
      <c r="D16" s="21"/>
    </row>
    <row r="17" customFormat="false" ht="25.5" hidden="false" customHeight="true" outlineLevel="0" collapsed="false">
      <c r="B17" s="19" t="s">
        <v>368</v>
      </c>
      <c r="C17" s="19"/>
      <c r="D17" s="19"/>
    </row>
    <row r="18" customFormat="false" ht="25.5" hidden="false" customHeight="true" outlineLevel="0" collapsed="false">
      <c r="B18" s="21" t="s">
        <v>369</v>
      </c>
      <c r="C18" s="21"/>
      <c r="D18" s="21"/>
    </row>
    <row r="20" customFormat="false" ht="21.75" hidden="false" customHeight="true" outlineLevel="0" collapsed="false">
      <c r="A20" s="5" t="s">
        <v>370</v>
      </c>
      <c r="B20" s="5"/>
      <c r="C20" s="5"/>
      <c r="D20" s="5"/>
    </row>
    <row r="21" customFormat="false" ht="15" hidden="false" customHeight="true" outlineLevel="0" collapsed="false">
      <c r="B21" s="21" t="s">
        <v>371</v>
      </c>
      <c r="C21" s="21"/>
      <c r="D21" s="21"/>
    </row>
    <row r="22" customFormat="false" ht="15" hidden="false" customHeight="true" outlineLevel="0" collapsed="false">
      <c r="B22" s="19" t="s">
        <v>372</v>
      </c>
      <c r="C22" s="19"/>
      <c r="D22" s="19"/>
    </row>
    <row r="23" customFormat="false" ht="15" hidden="false" customHeight="true" outlineLevel="0" collapsed="false">
      <c r="B23" s="21" t="s">
        <v>373</v>
      </c>
      <c r="C23" s="21"/>
      <c r="D23" s="21"/>
    </row>
    <row r="24" customFormat="false" ht="15" hidden="false" customHeight="true" outlineLevel="0" collapsed="false">
      <c r="B24" s="19" t="s">
        <v>374</v>
      </c>
      <c r="C24" s="19"/>
      <c r="D24" s="19"/>
    </row>
  </sheetData>
  <mergeCells count="15">
    <mergeCell ref="A1:D1"/>
    <mergeCell ref="A3:D3"/>
    <mergeCell ref="A11:D11"/>
    <mergeCell ref="B12:D12"/>
    <mergeCell ref="B13:D13"/>
    <mergeCell ref="B14:D14"/>
    <mergeCell ref="B15:D15"/>
    <mergeCell ref="B16:D16"/>
    <mergeCell ref="B17:D17"/>
    <mergeCell ref="B18:D18"/>
    <mergeCell ref="A20:D20"/>
    <mergeCell ref="B21:D21"/>
    <mergeCell ref="B22:D22"/>
    <mergeCell ref="B23:D23"/>
    <mergeCell ref="B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4" min="2" style="1" width="18"/>
    <col collapsed="false" customWidth="true" hidden="false" outlineLevel="0" max="6" min="5" style="1" width="20"/>
    <col collapsed="false" customWidth="true" hidden="false" outlineLevel="0" max="7" min="7" style="1" width="40"/>
  </cols>
  <sheetData>
    <row r="1" customFormat="false" ht="30" hidden="false" customHeight="true" outlineLevel="0" collapsed="false">
      <c r="A1" s="2" t="s">
        <v>375</v>
      </c>
      <c r="B1" s="2"/>
      <c r="C1" s="2"/>
      <c r="D1" s="2"/>
      <c r="E1" s="2"/>
      <c r="F1" s="2"/>
    </row>
    <row r="2" customFormat="false" ht="15" hidden="false" customHeight="true" outlineLevel="0" collapsed="false">
      <c r="B2" s="3" t="s">
        <v>376</v>
      </c>
      <c r="C2" s="33" t="s">
        <v>377</v>
      </c>
      <c r="D2" s="33"/>
      <c r="E2" s="33"/>
      <c r="F2" s="33"/>
      <c r="G2" s="33"/>
    </row>
    <row r="4" customFormat="false" ht="15" hidden="false" customHeight="true" outlineLevel="0" collapsed="false">
      <c r="B4" s="14" t="s">
        <v>378</v>
      </c>
      <c r="C4" s="14" t="s">
        <v>379</v>
      </c>
      <c r="D4" s="14" t="s">
        <v>380</v>
      </c>
      <c r="E4" s="14" t="s">
        <v>381</v>
      </c>
      <c r="F4" s="14" t="s">
        <v>382</v>
      </c>
      <c r="G4" s="14" t="s">
        <v>383</v>
      </c>
    </row>
    <row r="5" customFormat="false" ht="27.75" hidden="false" customHeight="true" outlineLevel="0" collapsed="false">
      <c r="B5" s="4" t="s">
        <v>384</v>
      </c>
      <c r="C5" s="4" t="s">
        <v>385</v>
      </c>
      <c r="D5" s="4" t="s">
        <v>386</v>
      </c>
      <c r="E5" s="4" t="s">
        <v>124</v>
      </c>
      <c r="F5" s="4"/>
      <c r="G5" s="4" t="str">
        <f aca="false">$C$2&amp;"?utm_source="&amp;B5&amp;"&amp;utm_medium="&amp;C5&amp;"&amp;utm_campaign="&amp;D5&amp;"&amp;utm_content="&amp;E5&amp;IF(F5="","","&amp;utm_term="&amp;F5)</f>
        <v>https://your-reg-page.com/register?utm_source=facebook&amp;utm_medium=paid_social&amp;utm_campaign=ai_ads_webinar&amp;utm_content=AS1_Emma_2minBuild_BODY01</v>
      </c>
    </row>
    <row r="6" customFormat="false" ht="27.75" hidden="false" customHeight="true" outlineLevel="0" collapsed="false">
      <c r="B6" s="4" t="s">
        <v>384</v>
      </c>
      <c r="C6" s="4" t="s">
        <v>385</v>
      </c>
      <c r="D6" s="4" t="s">
        <v>386</v>
      </c>
      <c r="E6" s="4" t="s">
        <v>159</v>
      </c>
      <c r="F6" s="4"/>
      <c r="G6" s="4" t="str">
        <f aca="false">$C$2&amp;"?utm_source="&amp;B6&amp;"&amp;utm_medium="&amp;C6&amp;"&amp;utm_campaign="&amp;D6&amp;"&amp;utm_content="&amp;E6&amp;IF(F6="","","&amp;utm_term="&amp;F6)</f>
        <v>https://your-reg-page.com/register?utm_source=facebook&amp;utm_medium=paid_social&amp;utm_campaign=ai_ads_webinar&amp;utm_content=AS2_Ryan_StopBoost_BODY02</v>
      </c>
    </row>
    <row r="7" customFormat="false" ht="27.75" hidden="false" customHeight="true" outlineLevel="0" collapsed="false">
      <c r="B7" s="4" t="s">
        <v>384</v>
      </c>
      <c r="C7" s="4" t="s">
        <v>385</v>
      </c>
      <c r="D7" s="4" t="s">
        <v>387</v>
      </c>
      <c r="E7" s="4" t="s">
        <v>203</v>
      </c>
      <c r="F7" s="4"/>
      <c r="G7" s="4" t="str">
        <f aca="false">$C$2&amp;"?utm_source="&amp;B7&amp;"&amp;utm_medium="&amp;C7&amp;"&amp;utm_campaign="&amp;D7&amp;"&amp;utm_content="&amp;E7&amp;IF(F7="","","&amp;utm_term="&amp;F7)</f>
        <v>https://your-reg-page.com/register?utm_source=facebook&amp;utm_medium=paid_social&amp;utm_campaign=ai_ads_webinar_retarget&amp;utm_content=RT_ObjTechy_RT02</v>
      </c>
    </row>
    <row r="8" customFormat="false" ht="15" hidden="false" customHeight="true" outlineLevel="0" collapsed="false">
      <c r="B8" s="4"/>
      <c r="C8" s="4"/>
      <c r="D8" s="4"/>
      <c r="E8" s="4"/>
      <c r="F8" s="4"/>
      <c r="G8" s="4" t="str">
        <f aca="false">IF(B8="","",$C$2&amp;"?utm_source="&amp;B8&amp;"&amp;utm_medium="&amp;C8&amp;"&amp;utm_campaign="&amp;D8&amp;"&amp;utm_content="&amp;E8&amp;IF(F8="","","&amp;utm_term="&amp;F8))</f>
        <v/>
      </c>
    </row>
    <row r="9" customFormat="false" ht="15" hidden="false" customHeight="true" outlineLevel="0" collapsed="false">
      <c r="B9" s="4"/>
      <c r="C9" s="4"/>
      <c r="D9" s="4"/>
      <c r="E9" s="4"/>
      <c r="F9" s="4"/>
      <c r="G9" s="4" t="str">
        <f aca="false">IF(B9="","",$C$2&amp;"?utm_source="&amp;B9&amp;"&amp;utm_medium="&amp;C9&amp;"&amp;utm_campaign="&amp;D9&amp;"&amp;utm_content="&amp;E9&amp;IF(F9="","","&amp;utm_term="&amp;F9))</f>
        <v/>
      </c>
    </row>
    <row r="10" customFormat="false" ht="15" hidden="false" customHeight="true" outlineLevel="0" collapsed="false">
      <c r="B10" s="4"/>
      <c r="C10" s="4"/>
      <c r="D10" s="4"/>
      <c r="E10" s="4"/>
      <c r="F10" s="4"/>
      <c r="G10" s="4" t="str">
        <f aca="false">IF(B10="","",$C$2&amp;"?utm_source="&amp;B10&amp;"&amp;utm_medium="&amp;C10&amp;"&amp;utm_campaign="&amp;D10&amp;"&amp;utm_content="&amp;E10&amp;IF(F10="","","&amp;utm_term="&amp;F10))</f>
        <v/>
      </c>
    </row>
    <row r="11" customFormat="false" ht="15" hidden="false" customHeight="true" outlineLevel="0" collapsed="false">
      <c r="B11" s="4"/>
      <c r="C11" s="4"/>
      <c r="D11" s="4"/>
      <c r="E11" s="4"/>
      <c r="F11" s="4"/>
      <c r="G11" s="4" t="str">
        <f aca="false">IF(B11="","",$C$2&amp;"?utm_source="&amp;B11&amp;"&amp;utm_medium="&amp;C11&amp;"&amp;utm_campaign="&amp;D11&amp;"&amp;utm_content="&amp;E11&amp;IF(F11="","","&amp;utm_term="&amp;F11))</f>
        <v/>
      </c>
    </row>
    <row r="12" customFormat="false" ht="15" hidden="false" customHeight="true" outlineLevel="0" collapsed="false">
      <c r="B12" s="4"/>
      <c r="C12" s="4"/>
      <c r="D12" s="4"/>
      <c r="E12" s="4"/>
      <c r="F12" s="4"/>
      <c r="G12" s="4" t="str">
        <f aca="false">IF(B12="","",$C$2&amp;"?utm_source="&amp;B12&amp;"&amp;utm_medium="&amp;C12&amp;"&amp;utm_campaign="&amp;D12&amp;"&amp;utm_content="&amp;E12&amp;IF(F12="","","&amp;utm_term="&amp;F12))</f>
        <v/>
      </c>
    </row>
    <row r="13" customFormat="false" ht="15" hidden="false" customHeight="true" outlineLevel="0" collapsed="false">
      <c r="B13" s="4"/>
      <c r="C13" s="4"/>
      <c r="D13" s="4"/>
      <c r="E13" s="4"/>
      <c r="F13" s="4"/>
      <c r="G13" s="4" t="str">
        <f aca="false">IF(B13="","",$C$2&amp;"?utm_source="&amp;B13&amp;"&amp;utm_medium="&amp;C13&amp;"&amp;utm_campaign="&amp;D13&amp;"&amp;utm_content="&amp;E13&amp;IF(F13="","","&amp;utm_term="&amp;F13))</f>
        <v/>
      </c>
    </row>
    <row r="15" customFormat="false" ht="15" hidden="false" customHeight="true" outlineLevel="0" collapsed="false">
      <c r="B15" s="16" t="s">
        <v>388</v>
      </c>
      <c r="C15" s="16"/>
      <c r="D15" s="16"/>
      <c r="E15" s="16"/>
      <c r="F15" s="16"/>
      <c r="G15" s="16"/>
    </row>
  </sheetData>
  <mergeCells count="3">
    <mergeCell ref="A1:F1"/>
    <mergeCell ref="C2:G2"/>
    <mergeCell ref="B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2026-07-08T20:17:05Z</dcterms:created>
  <dc:creator>openpyxl</dc:creator>
  <dc:description/>
  <dc:language>en-US</dc:language>
  <cp:lastModifiedBy/>
  <dcterms:modified xsi:type="dcterms:W3CDTF">2026-07-08T20:29:26Z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