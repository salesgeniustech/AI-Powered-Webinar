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ates" sheetId="1" state="visible" r:id="rId1"/>
    <sheet xmlns:r="http://schemas.openxmlformats.org/officeDocument/2006/relationships" name="Pricing &amp; Budget" sheetId="2" state="visible" r:id="rId2"/>
    <sheet xmlns:r="http://schemas.openxmlformats.org/officeDocument/2006/relationships" name="Currency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Phase 1 Tracker" sheetId="5" state="visible" r:id="rId5"/>
    <sheet xmlns:r="http://schemas.openxmlformats.org/officeDocument/2006/relationships" name="Phase 2 Tracker" sheetId="6" state="visible" r:id="rId6"/>
    <sheet xmlns:r="http://schemas.openxmlformats.org/officeDocument/2006/relationships"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0.00"/>
    <numFmt numFmtId="165" formatCode="$#,##0"/>
    <numFmt numFmtId="166" formatCode="0.0"/>
    <numFmt numFmtId="167" formatCode="0.0%"/>
    <numFmt numFmtId="168" formatCode="0.0000"/>
    <numFmt numFmtId="169" formatCode="#,##0.0"/>
    <numFmt numFmtId="170" formatCode="0.00&quot;x&quot;"/>
  </numFmts>
  <fonts count="2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2"/>
    </font>
    <font>
      <b val="1"/>
      <color rgb="00FFFFFF"/>
    </font>
    <font>
      <b val="1"/>
      <color rgb="00FFFFFF"/>
      <sz val="11"/>
    </font>
    <font>
      <b val="1"/>
      <sz val="10"/>
    </font>
    <font>
      <i val="1"/>
      <color rgb="00595959"/>
      <sz val="9"/>
    </font>
    <font>
      <i val="1"/>
    </font>
    <font>
      <b val="1"/>
    </font>
    <font>
      <b val="1"/>
      <color rgb="00FFFFFF"/>
      <sz val="9"/>
    </font>
    <font>
      <b val="1"/>
      <sz val="9"/>
    </font>
    <font>
      <sz val="9"/>
    </font>
    <font>
      <i val="1"/>
      <color rgb="00999999"/>
      <sz val="9"/>
    </font>
    <font/>
    <font>
      <i val="1"/>
      <color rgb="00595959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9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</patternFill>
    </fill>
    <fill>
      <patternFill patternType="solid">
        <fgColor rgb="00DEEBF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5" borderId="0" pivotButton="0" quotePrefix="0" xfId="0"/>
    <xf numFmtId="2" fontId="0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0" fontId="7" fillId="0" borderId="0" pivotButton="0" quotePrefix="0" xfId="0"/>
    <xf numFmtId="0" fontId="6" fillId="7" borderId="1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0" fontId="5" fillId="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6" fillId="7" borderId="0" pivotButton="0" quotePrefix="0" xfId="0"/>
    <xf numFmtId="3" fontId="0" fillId="0" borderId="0" pivotButton="0" quotePrefix="0" xfId="0"/>
    <xf numFmtId="169" fontId="0" fillId="0" borderId="0" pivotButton="0" quotePrefix="0" xfId="0"/>
    <xf numFmtId="169" fontId="9" fillId="0" borderId="0" pivotButton="0" quotePrefix="0" xfId="0"/>
    <xf numFmtId="170" fontId="0" fillId="0" borderId="0" pivotButton="0" quotePrefix="0" xfId="0"/>
    <xf numFmtId="0" fontId="10" fillId="8" borderId="1" applyAlignment="1" pivotButton="0" quotePrefix="0" xfId="0">
      <alignment horizontal="center" wrapText="1"/>
    </xf>
    <xf numFmtId="1" fontId="0" fillId="9" borderId="1" applyAlignment="1" pivotButton="0" quotePrefix="0" xfId="0">
      <alignment horizontal="left"/>
    </xf>
    <xf numFmtId="49" fontId="0" fillId="9" borderId="1" applyAlignment="1" pivotButton="0" quotePrefix="0" xfId="0">
      <alignment horizontal="left"/>
    </xf>
    <xf numFmtId="165" fontId="0" fillId="10" borderId="1" pivotButton="0" quotePrefix="0" xfId="0"/>
    <xf numFmtId="3" fontId="0" fillId="10" borderId="1" pivotButton="0" quotePrefix="0" xfId="0"/>
    <xf numFmtId="164" fontId="0" fillId="9" borderId="1" pivotButton="0" quotePrefix="0" xfId="0"/>
    <xf numFmtId="167" fontId="0" fillId="9" borderId="1" pivotButton="0" quotePrefix="0" xfId="0"/>
    <xf numFmtId="165" fontId="0" fillId="9" borderId="1" pivotButton="0" quotePrefix="0" xfId="0"/>
    <xf numFmtId="3" fontId="0" fillId="9" borderId="1" pivotButton="0" quotePrefix="0" xfId="0"/>
    <xf numFmtId="169" fontId="0" fillId="9" borderId="1" pivotButton="0" quotePrefix="0" xfId="0"/>
    <xf numFmtId="49" fontId="0" fillId="10" borderId="1" pivotButton="0" quotePrefix="0" xfId="0"/>
    <xf numFmtId="0" fontId="11" fillId="0" borderId="0" pivotButton="0" quotePrefix="0" xfId="0"/>
    <xf numFmtId="0" fontId="12" fillId="10" borderId="0" pivotButton="0" quotePrefix="0" xfId="0"/>
    <xf numFmtId="0" fontId="12" fillId="9" borderId="0" pivotButton="0" quotePrefix="0" xfId="0"/>
    <xf numFmtId="0" fontId="13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168" fontId="14" fillId="0" borderId="0" pivotButton="0" quotePrefix="0" xfId="0"/>
    <xf numFmtId="167" fontId="14" fillId="0" borderId="0" pivotButton="0" quotePrefix="0" xfId="0"/>
    <xf numFmtId="169" fontId="14" fillId="0" borderId="0" pivotButton="0" quotePrefix="0" xfId="0"/>
    <xf numFmtId="170" fontId="9" fillId="0" borderId="0" pivotButton="0" quotePrefix="0" xfId="0"/>
    <xf numFmtId="0" fontId="16" fillId="6" borderId="2" applyAlignment="1" pivotButton="0" quotePrefix="0" xfId="0">
      <alignment vertical="center"/>
    </xf>
    <xf numFmtId="0" fontId="17" fillId="0" borderId="2" pivotButton="0" quotePrefix="0" xfId="0"/>
    <xf numFmtId="0" fontId="14" fillId="0" borderId="2" pivotButton="0" quotePrefix="0" xfId="0"/>
    <xf numFmtId="0" fontId="18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left"/>
    </xf>
    <xf numFmtId="0" fontId="19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left" vertical="center"/>
    </xf>
    <xf numFmtId="10" fontId="20" fillId="1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0" fontId="2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42" customWidth="1" min="5" max="5"/>
  </cols>
  <sheetData>
    <row r="1" ht="24" customHeight="1">
      <c r="A1" s="51" t="inlineStr">
        <is>
          <t>CONVERSION RATES — In Funnel Order</t>
        </is>
      </c>
    </row>
    <row r="2">
      <c r="A2" s="52" t="inlineStr">
        <is>
          <t>Edit any cell in columns C or D. These flow through to the Projections tab and both Trackers.</t>
        </is>
      </c>
    </row>
    <row r="3">
      <c r="A3" s="53" t="n"/>
      <c r="B3" s="53" t="n"/>
      <c r="C3" s="53" t="n"/>
      <c r="D3" s="53" t="n"/>
      <c r="E3" s="53" t="n"/>
    </row>
    <row r="4">
      <c r="A4" s="54" t="inlineStr">
        <is>
          <t>#</t>
        </is>
      </c>
      <c r="B4" s="55" t="inlineStr">
        <is>
          <t>Funnel Step</t>
        </is>
      </c>
      <c r="C4" s="54" t="inlineStr">
        <is>
          <t>Phase 1</t>
        </is>
      </c>
      <c r="D4" s="54" t="inlineStr">
        <is>
          <t>Phase 2</t>
        </is>
      </c>
      <c r="E4" s="55" t="inlineStr">
        <is>
          <t>Basis / Notes</t>
        </is>
      </c>
    </row>
    <row r="5">
      <c r="A5" s="56" t="inlineStr">
        <is>
          <t>1</t>
        </is>
      </c>
      <c r="B5" s="57" t="inlineStr">
        <is>
          <t>Show Rate (webinar attendance)</t>
        </is>
      </c>
      <c r="C5" s="58" t="n">
        <v>0.3</v>
      </c>
      <c r="D5" s="58" t="n">
        <v>0.5</v>
      </c>
      <c r="E5" s="59" t="inlineStr">
        <is>
          <t>% of registrations</t>
        </is>
      </c>
    </row>
    <row r="6">
      <c r="A6" s="56" t="inlineStr">
        <is>
          <t>2</t>
        </is>
      </c>
      <c r="B6" s="57" t="inlineStr">
        <is>
          <t>Thank You Page Call Booking</t>
        </is>
      </c>
      <c r="C6" s="58" t="n">
        <v>0.05</v>
      </c>
      <c r="D6" s="58" t="n">
        <v>0.05</v>
      </c>
      <c r="E6" s="59" t="inlineStr">
        <is>
          <t>% of registrations</t>
        </is>
      </c>
    </row>
    <row r="7">
      <c r="A7" s="56" t="inlineStr">
        <is>
          <t>3</t>
        </is>
      </c>
      <c r="B7" s="57" t="inlineStr">
        <is>
          <t>Email Call Booking</t>
        </is>
      </c>
      <c r="C7" s="58" t="n">
        <v>0.01</v>
      </c>
      <c r="D7" s="58" t="n">
        <v>0.01</v>
      </c>
      <c r="E7" s="59" t="inlineStr">
        <is>
          <t>% of registrations</t>
        </is>
      </c>
    </row>
    <row r="8">
      <c r="A8" s="56" t="inlineStr">
        <is>
          <t>4</t>
        </is>
      </c>
      <c r="B8" s="57" t="inlineStr">
        <is>
          <t>Phone Call Booking</t>
        </is>
      </c>
      <c r="C8" s="58" t="n">
        <v>0.03</v>
      </c>
      <c r="D8" s="58" t="n">
        <v>0.03</v>
      </c>
      <c r="E8" s="59" t="inlineStr">
        <is>
          <t>% of registrations</t>
        </is>
      </c>
    </row>
    <row r="9">
      <c r="A9" s="56" t="inlineStr">
        <is>
          <t>5</t>
        </is>
      </c>
      <c r="B9" s="57" t="inlineStr">
        <is>
          <t>Low Ticket Conversion (sale rate)</t>
        </is>
      </c>
      <c r="C9" s="58" t="n">
        <v>0.1</v>
      </c>
      <c r="D9" s="58" t="n">
        <v>0.15</v>
      </c>
      <c r="E9" s="59" t="inlineStr">
        <is>
          <t>% of attendees who buy</t>
        </is>
      </c>
    </row>
    <row r="10">
      <c r="A10" s="56" t="inlineStr">
        <is>
          <t>6</t>
        </is>
      </c>
      <c r="B10" s="57" t="inlineStr">
        <is>
          <t>Post-LTO Call Booking</t>
        </is>
      </c>
      <c r="C10" s="58" t="n">
        <v>0.5</v>
      </c>
      <c r="D10" s="58" t="n">
        <v>0.5</v>
      </c>
      <c r="E10" s="59" t="inlineStr">
        <is>
          <t>% of LTO buyers who book the call</t>
        </is>
      </c>
    </row>
    <row r="11">
      <c r="A11" s="56" t="inlineStr">
        <is>
          <t>7</t>
        </is>
      </c>
      <c r="B11" s="57" t="inlineStr">
        <is>
          <t>Hammer Them Direct Call Booking</t>
        </is>
      </c>
      <c r="C11" s="58" t="n">
        <v>0</v>
      </c>
      <c r="D11" s="58" t="n">
        <v>0.05</v>
      </c>
      <c r="E11" s="59" t="inlineStr">
        <is>
          <t>Phase 2 only — % of registrations</t>
        </is>
      </c>
    </row>
    <row r="12">
      <c r="A12" s="56" t="inlineStr">
        <is>
          <t>8</t>
        </is>
      </c>
      <c r="B12" s="57" t="inlineStr">
        <is>
          <t>Call Show Rate</t>
        </is>
      </c>
      <c r="C12" s="58" t="n">
        <v>0.5</v>
      </c>
      <c r="D12" s="58" t="n">
        <v>0.6</v>
      </c>
      <c r="E12" s="59" t="inlineStr">
        <is>
          <t>% of booked calls held</t>
        </is>
      </c>
    </row>
    <row r="13">
      <c r="A13" s="56" t="inlineStr">
        <is>
          <t>9</t>
        </is>
      </c>
      <c r="B13" s="57" t="inlineStr">
        <is>
          <t>Sales Close Rate</t>
        </is>
      </c>
      <c r="C13" s="58" t="n">
        <v>0.25</v>
      </c>
      <c r="D13" s="58" t="n">
        <v>0.3</v>
      </c>
      <c r="E13" s="59" t="inlineStr">
        <is>
          <t>% of held calls that close</t>
        </is>
      </c>
    </row>
    <row r="15">
      <c r="A15" s="60" t="inlineStr">
        <is>
          <t>Yellow cells = editable inputs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" customWidth="1" min="2" max="2"/>
    <col width="12" customWidth="1" min="3" max="3"/>
    <col width="12" customWidth="1" min="4" max="4"/>
    <col width="45" customWidth="1" min="5" max="5"/>
  </cols>
  <sheetData>
    <row r="1" ht="24" customHeight="1">
      <c r="A1" s="9" t="inlineStr">
        <is>
          <t>PRICING, BUDGET &amp; REFUNDS</t>
        </is>
      </c>
    </row>
    <row r="2">
      <c r="A2" s="10" t="inlineStr">
        <is>
          <t>All non-rate inputs live here. Edit any value in column C or D.</t>
        </is>
      </c>
    </row>
    <row r="4">
      <c r="A4" s="11" t="inlineStr">
        <is>
          <t>Metric</t>
        </is>
      </c>
      <c r="C4" s="11" t="inlineStr">
        <is>
          <t>Phase 1</t>
        </is>
      </c>
      <c r="D4" s="11" t="inlineStr">
        <is>
          <t>Phase 2</t>
        </is>
      </c>
      <c r="E4" s="11" t="inlineStr">
        <is>
          <t>Notes</t>
        </is>
      </c>
    </row>
    <row r="6">
      <c r="A6" s="14" t="inlineStr">
        <is>
          <t>PRICING</t>
        </is>
      </c>
    </row>
    <row r="7">
      <c r="A7" t="inlineStr">
        <is>
          <t>Low-Ticket Offer Price</t>
        </is>
      </c>
      <c r="C7" s="15" t="n">
        <v>97</v>
      </c>
      <c r="D7" s="15" t="n">
        <v>97</v>
      </c>
      <c r="E7" s="10" t="inlineStr">
        <is>
          <t>$ per LTO sale</t>
        </is>
      </c>
    </row>
    <row r="8">
      <c r="A8" s="41" t="inlineStr">
        <is>
          <t>[DEPRECATED — see HT Sales Structure below]</t>
        </is>
      </c>
      <c r="C8" s="16" t="n"/>
      <c r="D8" s="16" t="n"/>
      <c r="E8" s="41" t="inlineStr">
        <is>
          <t>Now modeled by LIL + Annual structure</t>
        </is>
      </c>
    </row>
    <row r="9">
      <c r="A9" s="41" t="inlineStr">
        <is>
          <t>[DEPRECATED — see HT Sales Structure below]</t>
        </is>
      </c>
      <c r="C9" s="17" t="n"/>
      <c r="D9" s="17" t="n"/>
      <c r="E9" s="41" t="inlineStr">
        <is>
          <t>Now derived from renewal rate × contract length</t>
        </is>
      </c>
    </row>
    <row r="11">
      <c r="A11" s="14" t="inlineStr">
        <is>
          <t>MONTHLY AD BUDGET (CAD)</t>
        </is>
      </c>
    </row>
    <row r="12">
      <c r="A12" t="inlineStr">
        <is>
          <t>Direct Response Budget</t>
        </is>
      </c>
      <c r="C12" s="16" t="n">
        <v>10000</v>
      </c>
      <c r="D12" s="16" t="n">
        <v>8000</v>
      </c>
      <c r="E12" s="10" t="inlineStr">
        <is>
          <t>Phase 1 = all DR; Phase 2 = DR portion only</t>
        </is>
      </c>
    </row>
    <row r="13">
      <c r="A13" t="inlineStr">
        <is>
          <t>Hammer Them Budget</t>
        </is>
      </c>
      <c r="C13" s="16" t="n">
        <v>0</v>
      </c>
      <c r="D13" s="16" t="n">
        <v>2000</v>
      </c>
      <c r="E13" s="10" t="inlineStr">
        <is>
          <t>Phase 2 only — content/warming spend</t>
        </is>
      </c>
    </row>
    <row r="14">
      <c r="A14" t="inlineStr">
        <is>
          <t>Cost Per Lead</t>
        </is>
      </c>
      <c r="C14" s="15" t="n">
        <v>10</v>
      </c>
      <c r="D14" s="15" t="n">
        <v>20</v>
      </c>
      <c r="E14" s="10" t="inlineStr">
        <is>
          <t>Higher in Phase 2 (quality-optimized)</t>
        </is>
      </c>
    </row>
    <row r="15">
      <c r="A15" s="18" t="inlineStr">
        <is>
          <t>Total Monthly Budget (calc)</t>
        </is>
      </c>
      <c r="C15" s="19">
        <f>C12+C13</f>
        <v/>
      </c>
      <c r="D15" s="19">
        <f>D12+D13</f>
        <v/>
      </c>
      <c r="E15" s="10" t="inlineStr">
        <is>
          <t>Auto-calculated</t>
        </is>
      </c>
    </row>
    <row r="17">
      <c r="A17" s="14" t="inlineStr">
        <is>
          <t>REFUND RATES</t>
        </is>
      </c>
    </row>
    <row r="18">
      <c r="A18" t="inlineStr">
        <is>
          <t>LTO Refund Rate %</t>
        </is>
      </c>
      <c r="C18" s="20" t="n">
        <v>0.05</v>
      </c>
      <c r="D18" s="20" t="n">
        <v>0.05</v>
      </c>
      <c r="E18" s="10" t="inlineStr">
        <is>
          <t>% of LT sales refunded — haircuts LT revenue</t>
        </is>
      </c>
    </row>
    <row r="19">
      <c r="A19" t="inlineStr">
        <is>
          <t>MRR/HT Refund Rate %</t>
        </is>
      </c>
      <c r="C19" s="20" t="n">
        <v>0.05</v>
      </c>
      <c r="D19" s="20" t="n">
        <v>0.05</v>
      </c>
      <c r="E19" s="10" t="inlineStr">
        <is>
          <t>% of new MRR refunded — haircuts MRR &amp; LTV</t>
        </is>
      </c>
    </row>
    <row r="21">
      <c r="A21" s="14" t="inlineStr">
        <is>
          <t>HIGH-TICKET SALES STRUCTURE (Love It or Leave It + Annual)</t>
        </is>
      </c>
    </row>
    <row r="22">
      <c r="A22" t="inlineStr">
        <is>
          <t>LIL Upfront Price (USD)</t>
        </is>
      </c>
      <c r="C22" s="16" t="n">
        <v>4000</v>
      </c>
      <c r="D22" s="16" t="n">
        <v>4000</v>
      </c>
      <c r="E22" s="10" t="inlineStr">
        <is>
          <t>First-60-day upfront option</t>
        </is>
      </c>
    </row>
    <row r="23">
      <c r="A23" t="inlineStr">
        <is>
          <t>LIL Monthly Option Price (USD/mo)</t>
        </is>
      </c>
      <c r="C23" s="16" t="n">
        <v>2500</v>
      </c>
      <c r="D23" s="16" t="n">
        <v>2500</v>
      </c>
      <c r="E23" s="10" t="inlineStr">
        <is>
          <t>Alternative to upfront, paid monthly during LIL</t>
        </is>
      </c>
    </row>
    <row r="24">
      <c r="A24" t="inlineStr">
        <is>
          <t>LIL Monthly Option Length (months)</t>
        </is>
      </c>
      <c r="C24" s="42" t="n">
        <v>2</v>
      </c>
      <c r="D24" s="42" t="n">
        <v>2</v>
      </c>
      <c r="E24" s="10" t="inlineStr">
        <is>
          <t>60-day LIL = 2 months</t>
        </is>
      </c>
    </row>
    <row r="25">
      <c r="A25" t="inlineStr">
        <is>
          <t>% Choosing Upfront Option</t>
        </is>
      </c>
      <c r="C25" s="43" t="n">
        <v>0.8</v>
      </c>
      <c r="D25" s="43" t="n">
        <v>0.8</v>
      </c>
      <c r="E25" s="10" t="inlineStr">
        <is>
          <t>Most clients pay upfront ($4k vs $5k total)</t>
        </is>
      </c>
    </row>
    <row r="26">
      <c r="A26" t="inlineStr">
        <is>
          <t>Post-LIL Annual Monthly Price (USD)</t>
        </is>
      </c>
      <c r="C26" s="16" t="n">
        <v>2000</v>
      </c>
      <c r="D26" s="16" t="n">
        <v>2000</v>
      </c>
      <c r="E26" s="10" t="inlineStr">
        <is>
          <t>Monthly rate during 12-month annual contract</t>
        </is>
      </c>
    </row>
    <row r="27">
      <c r="A27" t="inlineStr">
        <is>
          <t>Post-LIL Annual Contract Length</t>
        </is>
      </c>
      <c r="C27" s="42" t="n">
        <v>12</v>
      </c>
      <c r="D27" s="42" t="n">
        <v>12</v>
      </c>
      <c r="E27" s="10" t="inlineStr">
        <is>
          <t>Months in annual commitment</t>
        </is>
      </c>
    </row>
    <row r="28">
      <c r="A28" t="inlineStr">
        <is>
          <t>Post-LIL Renewal Rate %</t>
        </is>
      </c>
      <c r="C28" s="43" t="n">
        <v>0.5</v>
      </c>
      <c r="D28" s="43" t="n">
        <v>0.5</v>
      </c>
      <c r="E28" s="10" t="inlineStr">
        <is>
          <t>% of LIL grads who sign 12-month annual</t>
        </is>
      </c>
    </row>
  </sheetData>
  <mergeCells count="6">
    <mergeCell ref="A21:E21"/>
    <mergeCell ref="A2:E2"/>
    <mergeCell ref="A11:E11"/>
    <mergeCell ref="A1:E1"/>
    <mergeCell ref="A6:E6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</cols>
  <sheetData>
    <row r="1" ht="24" customHeight="1">
      <c r="A1" s="9" t="inlineStr">
        <is>
          <t>CURRENCY</t>
        </is>
      </c>
    </row>
    <row r="2">
      <c r="A2" s="10" t="inlineStr">
        <is>
          <t>Used to convert USD high-ticket revenue to CAD.</t>
        </is>
      </c>
    </row>
    <row r="4">
      <c r="A4" s="11" t="inlineStr">
        <is>
          <t>Metric</t>
        </is>
      </c>
      <c r="B4" s="11" t="inlineStr">
        <is>
          <t>Rate</t>
        </is>
      </c>
      <c r="C4" s="11" t="inlineStr">
        <is>
          <t>Notes</t>
        </is>
      </c>
    </row>
    <row r="5">
      <c r="A5" t="inlineStr">
        <is>
          <t>USD to CAD Exchange Rate</t>
        </is>
      </c>
      <c r="B5" s="21" t="n">
        <v>1.36</v>
      </c>
      <c r="C5" s="10" t="inlineStr">
        <is>
          <t>(editable — applies to all USD→CAD conversions)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9" t="inlineStr">
        <is>
          <t>MONTHLY PROJECTIONS</t>
        </is>
      </c>
    </row>
    <row r="2">
      <c r="A2" s="10" t="inlineStr">
        <is>
          <t>All numbers calculated from inputs on the Conversion Rates, Pricing &amp; Budget, and Currency tabs.</t>
        </is>
      </c>
    </row>
    <row r="4">
      <c r="A4" s="22" t="inlineStr">
        <is>
          <t>Metric</t>
        </is>
      </c>
      <c r="B4" s="22" t="inlineStr">
        <is>
          <t>Phase 1: DR Only</t>
        </is>
      </c>
      <c r="C4" s="22" t="inlineStr">
        <is>
          <t>Phase 2: DR + HT</t>
        </is>
      </c>
      <c r="D4" s="22" t="inlineStr">
        <is>
          <t>Difference</t>
        </is>
      </c>
    </row>
    <row r="6">
      <c r="A6" s="14" t="inlineStr">
        <is>
          <t>BUDGET &amp; REGISTRATIONS</t>
        </is>
      </c>
    </row>
    <row r="7">
      <c r="A7" t="inlineStr">
        <is>
          <t>Total Monthly Budget (CAD)</t>
        </is>
      </c>
      <c r="B7" s="16">
        <f>'Pricing &amp; Budget'!C15</f>
        <v/>
      </c>
      <c r="C7" s="16">
        <f>'Pricing &amp; Budget'!D15</f>
        <v/>
      </c>
      <c r="D7" s="16">
        <f>C7-B7</f>
        <v/>
      </c>
    </row>
    <row r="8">
      <c r="A8" t="inlineStr">
        <is>
          <t>Cost Per Lead</t>
        </is>
      </c>
      <c r="B8" s="15">
        <f>'Pricing &amp; Budget'!C14</f>
        <v/>
      </c>
      <c r="C8" s="15">
        <f>'Pricing &amp; Budget'!D14</f>
        <v/>
      </c>
      <c r="D8" s="15">
        <f>C8-B8</f>
        <v/>
      </c>
    </row>
    <row r="9">
      <c r="A9" t="inlineStr">
        <is>
          <t>Monthly Registrations</t>
        </is>
      </c>
      <c r="B9" s="23">
        <f>B7/B8</f>
        <v/>
      </c>
      <c r="C9" s="23">
        <f>C7/C8</f>
        <v/>
      </c>
      <c r="D9" s="23">
        <f>C9-B9</f>
        <v/>
      </c>
    </row>
    <row r="11">
      <c r="A11" s="14" t="inlineStr">
        <is>
          <t>WEBINAR FUNNEL</t>
        </is>
      </c>
    </row>
    <row r="12">
      <c r="A12" t="inlineStr">
        <is>
          <t>Show Rate %</t>
        </is>
      </c>
      <c r="B12" s="20">
        <f>'Conversion Rates'!C5</f>
        <v/>
      </c>
      <c r="C12" s="20">
        <f>'Conversion Rates'!D5</f>
        <v/>
      </c>
      <c r="D12" s="20">
        <f>C12-B12</f>
        <v/>
      </c>
    </row>
    <row r="13">
      <c r="A13" t="inlineStr">
        <is>
          <t>Monthly Attendees</t>
        </is>
      </c>
      <c r="B13" s="23">
        <f>B9*B12</f>
        <v/>
      </c>
      <c r="C13" s="23">
        <f>C9*C12</f>
        <v/>
      </c>
      <c r="D13" s="23">
        <f>C13-B13</f>
        <v/>
      </c>
    </row>
    <row r="15">
      <c r="A15" s="14" t="inlineStr">
        <is>
          <t>LOW-TICKET SALES</t>
        </is>
      </c>
    </row>
    <row r="16">
      <c r="A16" t="inlineStr">
        <is>
          <t>LT Conversion %</t>
        </is>
      </c>
      <c r="B16" s="20">
        <f>'Conversion Rates'!C9</f>
        <v/>
      </c>
      <c r="C16" s="20">
        <f>'Conversion Rates'!D9</f>
        <v/>
      </c>
      <c r="D16" s="20">
        <f>C16-B16</f>
        <v/>
      </c>
    </row>
    <row r="17">
      <c r="A17" t="inlineStr">
        <is>
          <t>Monthly LT Sales</t>
        </is>
      </c>
      <c r="B17" s="24">
        <f>B13*B16</f>
        <v/>
      </c>
      <c r="C17" s="24">
        <f>C13*C16</f>
        <v/>
      </c>
      <c r="D17" s="24">
        <f>C17-B17</f>
        <v/>
      </c>
    </row>
    <row r="18">
      <c r="A18" t="inlineStr">
        <is>
          <t>LTO Price (USD)</t>
        </is>
      </c>
      <c r="B18" s="15">
        <f>'Pricing &amp; Budget'!C7</f>
        <v/>
      </c>
      <c r="C18" s="15">
        <f>'Pricing &amp; Budget'!D7</f>
        <v/>
      </c>
      <c r="D18" s="15">
        <f>C18-B18</f>
        <v/>
      </c>
    </row>
    <row r="19">
      <c r="A19" t="inlineStr">
        <is>
          <t>LTO Refund Rate</t>
        </is>
      </c>
      <c r="B19" s="20">
        <f>'Pricing &amp; Budget'!C18</f>
        <v/>
      </c>
      <c r="C19" s="20">
        <f>'Pricing &amp; Budget'!D18</f>
        <v/>
      </c>
      <c r="D19" s="20">
        <f>C19-B19</f>
        <v/>
      </c>
    </row>
    <row r="20">
      <c r="A20" t="inlineStr">
        <is>
          <t>LT Revenue (CAD, net of refunds)</t>
        </is>
      </c>
      <c r="B20" s="19">
        <f>B17*B18*B45*(1-B19)</f>
        <v/>
      </c>
      <c r="C20" s="19">
        <f>C17*C18*C45*(1-C19)</f>
        <v/>
      </c>
      <c r="D20" s="19">
        <f>C20-B20</f>
        <v/>
      </c>
    </row>
    <row r="22">
      <c r="A22" s="14" t="inlineStr">
        <is>
          <t>BOOKED CALLS — From Webinar Funnel</t>
        </is>
      </c>
    </row>
    <row r="23">
      <c r="A23" t="inlineStr">
        <is>
          <t>Thank You Page Calls</t>
        </is>
      </c>
      <c r="B23" s="24">
        <f>B9*'Conversion Rates'!C6</f>
        <v/>
      </c>
      <c r="C23" s="24">
        <f>C9*'Conversion Rates'!D6</f>
        <v/>
      </c>
      <c r="D23" s="24">
        <f>C23-B23</f>
        <v/>
      </c>
    </row>
    <row r="24">
      <c r="A24" t="inlineStr">
        <is>
          <t>Email Calls</t>
        </is>
      </c>
      <c r="B24" s="24">
        <f>B9*'Conversion Rates'!C7</f>
        <v/>
      </c>
      <c r="C24" s="24">
        <f>C9*'Conversion Rates'!D7</f>
        <v/>
      </c>
      <c r="D24" s="24">
        <f>C24-B24</f>
        <v/>
      </c>
    </row>
    <row r="25">
      <c r="A25" t="inlineStr">
        <is>
          <t>Phone Calls</t>
        </is>
      </c>
      <c r="B25" s="24">
        <f>B9*'Conversion Rates'!C8</f>
        <v/>
      </c>
      <c r="C25" s="24">
        <f>C9*'Conversion Rates'!D8</f>
        <v/>
      </c>
      <c r="D25" s="24">
        <f>C25-B25</f>
        <v/>
      </c>
    </row>
    <row r="26">
      <c r="A26" t="inlineStr">
        <is>
          <t>Post-LTO Calls</t>
        </is>
      </c>
      <c r="B26" s="24">
        <f>B17*'Conversion Rates'!C10</f>
        <v/>
      </c>
      <c r="C26" s="24">
        <f>C17*'Conversion Rates'!D10</f>
        <v/>
      </c>
      <c r="D26" s="24">
        <f>C26-B26</f>
        <v/>
      </c>
    </row>
    <row r="27">
      <c r="A27" t="inlineStr">
        <is>
          <t>Webinar Calls Subtotal</t>
        </is>
      </c>
      <c r="B27" s="25">
        <f>SUM(B23:B26)</f>
        <v/>
      </c>
      <c r="C27" s="25">
        <f>SUM(C23:C26)</f>
        <v/>
      </c>
      <c r="D27" s="25">
        <f>C27-B27</f>
        <v/>
      </c>
    </row>
    <row r="29">
      <c r="A29" s="14" t="inlineStr">
        <is>
          <t>BOOKED CALLS — Direct from Hammer Them (Phase 2 only)</t>
        </is>
      </c>
    </row>
    <row r="30">
      <c r="A30" t="inlineStr">
        <is>
          <t>Direct HT Calls</t>
        </is>
      </c>
      <c r="B30" s="24">
        <f>B9*'Conversion Rates'!C11</f>
        <v/>
      </c>
      <c r="C30" s="24">
        <f>C9*'Conversion Rates'!D11</f>
        <v/>
      </c>
      <c r="D30" s="24">
        <f>C30-B30</f>
        <v/>
      </c>
    </row>
    <row r="32">
      <c r="A32" t="inlineStr">
        <is>
          <t>TOTAL BOOKED CALLS</t>
        </is>
      </c>
      <c r="B32" s="25">
        <f>B27+B30</f>
        <v/>
      </c>
      <c r="C32" s="25">
        <f>C27+C30</f>
        <v/>
      </c>
      <c r="D32" s="25">
        <f>C32-B32</f>
        <v/>
      </c>
    </row>
    <row r="34">
      <c r="A34" s="14" t="inlineStr">
        <is>
          <t>HELD CALLS &amp; CLOSES</t>
        </is>
      </c>
    </row>
    <row r="35">
      <c r="A35" t="inlineStr">
        <is>
          <t>Call Show Rate %</t>
        </is>
      </c>
      <c r="B35" s="20">
        <f>'Conversion Rates'!C12</f>
        <v/>
      </c>
      <c r="C35" s="20">
        <f>'Conversion Rates'!D12</f>
        <v/>
      </c>
      <c r="D35" s="20">
        <f>C35-B35</f>
        <v/>
      </c>
    </row>
    <row r="36">
      <c r="A36" t="inlineStr">
        <is>
          <t>Calls Held</t>
        </is>
      </c>
      <c r="B36" s="24">
        <f>B32*B35</f>
        <v/>
      </c>
      <c r="C36" s="24">
        <f>C32*C35</f>
        <v/>
      </c>
      <c r="D36" s="24">
        <f>C36-B36</f>
        <v/>
      </c>
    </row>
    <row r="37">
      <c r="A37" t="inlineStr">
        <is>
          <t>Sales Close Rate %</t>
        </is>
      </c>
      <c r="B37" s="20">
        <f>'Conversion Rates'!C13</f>
        <v/>
      </c>
      <c r="C37" s="20">
        <f>'Conversion Rates'!D13</f>
        <v/>
      </c>
      <c r="D37" s="20">
        <f>C37-B37</f>
        <v/>
      </c>
    </row>
    <row r="38">
      <c r="A38" t="inlineStr">
        <is>
          <t>Monthly Closes</t>
        </is>
      </c>
      <c r="B38" s="25">
        <f>B36*B37</f>
        <v/>
      </c>
      <c r="C38" s="25">
        <f>C36*C37</f>
        <v/>
      </c>
      <c r="D38" s="25">
        <f>C38-B38</f>
        <v/>
      </c>
    </row>
    <row r="40">
      <c r="A40" s="14" t="inlineStr">
        <is>
          <t>PER-CLOSE ECONOMICS — LIL + Annual Contract</t>
        </is>
      </c>
    </row>
    <row r="41">
      <c r="A41" s="44" t="inlineStr">
        <is>
          <t>Avg LIL Revenue per Close (USD)</t>
        </is>
      </c>
      <c r="B41" s="45">
        <f>'Pricing &amp; Budget'!C25*'Pricing &amp; Budget'!C22+(1-'Pricing &amp; Budget'!C25)*'Pricing &amp; Budget'!C23*'Pricing &amp; Budget'!C24</f>
        <v/>
      </c>
      <c r="C41" s="45">
        <f>'Pricing &amp; Budget'!D25*'Pricing &amp; Budget'!D22+(1-'Pricing &amp; Budget'!D25)*'Pricing &amp; Budget'!D23*'Pricing &amp; Budget'!D24</f>
        <v/>
      </c>
      <c r="D41" s="45">
        <f>C41-B41</f>
        <v/>
      </c>
    </row>
    <row r="42">
      <c r="A42" s="44" t="inlineStr">
        <is>
          <t>Avg Annual Revenue per Close (USD)</t>
        </is>
      </c>
      <c r="B42" s="45">
        <f>'Pricing &amp; Budget'!C28*'Pricing &amp; Budget'!C26*'Pricing &amp; Budget'!C27</f>
        <v/>
      </c>
      <c r="C42" s="45">
        <f>'Pricing &amp; Budget'!D28*'Pricing &amp; Budget'!D26*'Pricing &amp; Budget'!D27</f>
        <v/>
      </c>
      <c r="D42" s="45">
        <f>C42-B42</f>
        <v/>
      </c>
    </row>
    <row r="43">
      <c r="A43" s="44" t="inlineStr">
        <is>
          <t>Total LTV per Close (USD, gross)</t>
        </is>
      </c>
      <c r="B43" s="19">
        <f>B41+B42</f>
        <v/>
      </c>
      <c r="C43" s="19">
        <f>C41+C42</f>
        <v/>
      </c>
      <c r="D43" s="19">
        <f>C43-B43</f>
        <v/>
      </c>
    </row>
    <row r="44">
      <c r="A44" s="44" t="inlineStr">
        <is>
          <t>Month 1 Cash per Close (USD, gross)</t>
        </is>
      </c>
      <c r="B44" s="19">
        <f>'Pricing &amp; Budget'!C25*'Pricing &amp; Budget'!C22+(1-'Pricing &amp; Budget'!C25)*'Pricing &amp; Budget'!C23</f>
        <v/>
      </c>
      <c r="C44" s="19">
        <f>'Pricing &amp; Budget'!D25*'Pricing &amp; Budget'!D22+(1-'Pricing &amp; Budget'!D25)*'Pricing &amp; Budget'!D23</f>
        <v/>
      </c>
      <c r="D44" s="19">
        <f>C44-B44</f>
        <v/>
      </c>
    </row>
    <row r="45">
      <c r="A45" s="46" t="inlineStr">
        <is>
          <t>Exchange Rate (USD→CAD)</t>
        </is>
      </c>
      <c r="B45" s="47">
        <f>Currency!B5</f>
        <v/>
      </c>
      <c r="C45" s="47">
        <f>Currency!B5</f>
        <v/>
      </c>
      <c r="D45" s="47">
        <f>C45-B45</f>
        <v/>
      </c>
    </row>
    <row r="46">
      <c r="A46" s="46" t="inlineStr">
        <is>
          <t>HT Refund Rate</t>
        </is>
      </c>
      <c r="B46" s="48">
        <f>'Pricing &amp; Budget'!C19</f>
        <v/>
      </c>
      <c r="C46" s="48">
        <f>'Pricing &amp; Budget'!D19</f>
        <v/>
      </c>
      <c r="D46" s="48">
        <f>C46-B46</f>
        <v/>
      </c>
    </row>
    <row r="47">
      <c r="A47" s="44" t="inlineStr">
        <is>
          <t>Total LTV per Close (CAD, net)</t>
        </is>
      </c>
      <c r="B47" s="19">
        <f>B43*B45*(1-B46)</f>
        <v/>
      </c>
      <c r="C47" s="19">
        <f>C43*C45*(1-C46)</f>
        <v/>
      </c>
      <c r="D47" s="19">
        <f>C47-B47</f>
        <v/>
      </c>
    </row>
    <row r="48">
      <c r="A48" s="44" t="inlineStr">
        <is>
          <t>Month 1 Cash per Close (CAD, net)</t>
        </is>
      </c>
      <c r="B48" s="19">
        <f>B44*B45*(1-B46)</f>
        <v/>
      </c>
      <c r="C48" s="19">
        <f>C44*C45*(1-C46)</f>
        <v/>
      </c>
      <c r="D48" s="19">
        <f>C48-B48</f>
        <v/>
      </c>
    </row>
    <row r="49">
      <c r="A49" s="44" t="n"/>
      <c r="B49" s="44" t="n"/>
      <c r="C49" s="44" t="n"/>
      <c r="D49" s="44" t="n"/>
    </row>
    <row r="50">
      <c r="A50" s="14" t="inlineStr">
        <is>
          <t>MONTHLY CASH &amp; REVENUE (from new closes this month)</t>
        </is>
      </c>
    </row>
    <row r="51">
      <c r="A51" s="46" t="inlineStr">
        <is>
          <t>Monthly Closes</t>
        </is>
      </c>
      <c r="B51" s="49">
        <f>B38</f>
        <v/>
      </c>
      <c r="C51" s="49">
        <f>C38</f>
        <v/>
      </c>
      <c r="D51" s="49">
        <f>C51-B51</f>
        <v/>
      </c>
    </row>
    <row r="52">
      <c r="A52" s="44" t="inlineStr">
        <is>
          <t>Total Month 1 Cash Collected (CAD, net)</t>
        </is>
      </c>
      <c r="B52" s="19">
        <f>B51*B48</f>
        <v/>
      </c>
      <c r="C52" s="19">
        <f>C51*C48</f>
        <v/>
      </c>
      <c r="D52" s="19">
        <f>C52-B52</f>
        <v/>
      </c>
    </row>
    <row r="53">
      <c r="A53" s="44" t="inlineStr">
        <is>
          <t>Total LTV Generated (CAD, net)</t>
        </is>
      </c>
      <c r="B53" s="19">
        <f>B51*B47</f>
        <v/>
      </c>
      <c r="C53" s="19">
        <f>C51*C47</f>
        <v/>
      </c>
      <c r="D53" s="19">
        <f>C53-B53</f>
        <v/>
      </c>
    </row>
    <row r="54">
      <c r="A54" s="44" t="n"/>
      <c r="B54" s="44" t="n"/>
      <c r="C54" s="44" t="n"/>
      <c r="D54" s="44" t="n"/>
    </row>
    <row r="55">
      <c r="A55" s="14" t="inlineStr">
        <is>
          <t>RETURN ON AD SPEND</t>
        </is>
      </c>
    </row>
    <row r="56">
      <c r="A56" s="44" t="inlineStr">
        <is>
          <t>ROAS Month 1 (LT + M1 Cash / Spend)</t>
        </is>
      </c>
      <c r="B56" s="50">
        <f>(B20+B52)/B7</f>
        <v/>
      </c>
      <c r="C56" s="50">
        <f>(C20+C52)/C7</f>
        <v/>
      </c>
      <c r="D56" s="50">
        <f>C56-B56</f>
        <v/>
      </c>
    </row>
    <row r="57">
      <c r="A57" s="44" t="inlineStr">
        <is>
          <t>ROAS Lifetime (LT + LTV / Spend)</t>
        </is>
      </c>
      <c r="B57" s="50">
        <f>(B20+B53)/B7</f>
        <v/>
      </c>
      <c r="C57" s="50">
        <f>(C20+C53)/C7</f>
        <v/>
      </c>
      <c r="D57" s="50">
        <f>C57-B57</f>
        <v/>
      </c>
    </row>
    <row r="58">
      <c r="A58" s="44" t="n"/>
      <c r="B58" s="44" t="n"/>
      <c r="C58" s="44" t="n"/>
      <c r="D58" s="44" t="n"/>
    </row>
    <row r="59">
      <c r="A59" s="44" t="n"/>
      <c r="B59" s="44" t="n"/>
      <c r="C59" s="44" t="n"/>
      <c r="D59" s="44" t="n"/>
    </row>
  </sheetData>
  <mergeCells count="11">
    <mergeCell ref="A1:D1"/>
    <mergeCell ref="A40:D40"/>
    <mergeCell ref="A6:D6"/>
    <mergeCell ref="A22:D22"/>
    <mergeCell ref="A34:D34"/>
    <mergeCell ref="A50:D50"/>
    <mergeCell ref="A55:D55"/>
    <mergeCell ref="A15:D15"/>
    <mergeCell ref="A29:D29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2" customWidth="1" min="18" max="18"/>
    <col width="13" customWidth="1" min="19" max="19"/>
    <col width="12" customWidth="1" min="20" max="20"/>
    <col width="24" customWidth="1" min="21" max="21"/>
  </cols>
  <sheetData>
    <row r="1" ht="22" customHeight="1">
      <c r="A1" s="9" t="inlineStr">
        <is>
          <t>PHASE 1 TRACKER: Direct Response Only</t>
        </is>
      </c>
    </row>
    <row r="3" ht="32" customHeight="1">
      <c r="A3" s="27" t="inlineStr">
        <is>
          <t>Week #</t>
        </is>
      </c>
      <c r="B3" s="27" t="inlineStr">
        <is>
          <t>Week Starting</t>
        </is>
      </c>
      <c r="C3" s="27" t="inlineStr">
        <is>
          <t>Ad Spend ($)</t>
        </is>
      </c>
      <c r="D3" s="27" t="inlineStr">
        <is>
          <t>Registrations</t>
        </is>
      </c>
      <c r="E3" s="27" t="inlineStr">
        <is>
          <t>CPL ($)</t>
        </is>
      </c>
      <c r="F3" s="27" t="inlineStr">
        <is>
          <t>Webinar Attendees</t>
        </is>
      </c>
      <c r="G3" s="27" t="inlineStr">
        <is>
          <t>Show Rate %</t>
        </is>
      </c>
      <c r="H3" s="27" t="inlineStr">
        <is>
          <t>Low-Ticket Sales</t>
        </is>
      </c>
      <c r="I3" s="27" t="inlineStr">
        <is>
          <t>LT Conv %</t>
        </is>
      </c>
      <c r="J3" s="27" t="inlineStr">
        <is>
          <t>LT Revenue (CAD)</t>
        </is>
      </c>
      <c r="K3" s="27" t="inlineStr">
        <is>
          <t>Calls - Thank You Page</t>
        </is>
      </c>
      <c r="L3" s="27" t="inlineStr">
        <is>
          <t>Calls - Email/Phone</t>
        </is>
      </c>
      <c r="M3" s="27" t="inlineStr">
        <is>
          <t>Calls - Post-LTO</t>
        </is>
      </c>
      <c r="N3" s="27" t="inlineStr">
        <is>
          <t>Total Calls Booked</t>
        </is>
      </c>
      <c r="O3" s="27" t="inlineStr">
        <is>
          <t>Calls Held</t>
        </is>
      </c>
      <c r="P3" s="27" t="inlineStr">
        <is>
          <t>Closes</t>
        </is>
      </c>
      <c r="Q3" s="27" t="inlineStr">
        <is>
          <t>Close Rate %</t>
        </is>
      </c>
      <c r="R3" s="27" t="inlineStr">
        <is>
          <t>Cash Collected M1 ($)</t>
        </is>
      </c>
      <c r="S3" s="27" t="inlineStr">
        <is>
          <t>Cumulative Cash ($)</t>
        </is>
      </c>
      <c r="T3" s="27" t="inlineStr">
        <is>
          <t>Status</t>
        </is>
      </c>
      <c r="U3" s="27" t="inlineStr">
        <is>
          <t>Notes</t>
        </is>
      </c>
    </row>
    <row r="4">
      <c r="A4" s="28" t="n">
        <v>1</v>
      </c>
      <c r="B4" s="29" t="inlineStr">
        <is>
          <t>Week 1</t>
        </is>
      </c>
      <c r="C4" s="30" t="n"/>
      <c r="D4" s="31" t="n"/>
      <c r="E4" s="32">
        <f>IF(D4=0,0,C4/D4)</f>
        <v/>
      </c>
      <c r="F4" s="31" t="n"/>
      <c r="G4" s="33">
        <f>IF(D4=0,0,F4/D4)</f>
        <v/>
      </c>
      <c r="H4" s="31" t="n"/>
      <c r="I4" s="33">
        <f>IF(F4=0,0,H4/F4)</f>
        <v/>
      </c>
      <c r="J4" s="34">
        <f>H4*'Pricing &amp; Budget'!$C$7*Currency!$B$5*(1-'Pricing &amp; Budget'!$C$18)</f>
        <v/>
      </c>
      <c r="K4" s="31" t="n"/>
      <c r="L4" s="31" t="n"/>
      <c r="M4" s="31" t="n"/>
      <c r="N4" s="35">
        <f>K4+L4+M4</f>
        <v/>
      </c>
      <c r="O4" s="36">
        <f>N4*'Conversion Rates'!$C$12</f>
        <v/>
      </c>
      <c r="P4" s="31" t="n"/>
      <c r="Q4" s="33">
        <f>IF(O4=0,0,P4/O4)</f>
        <v/>
      </c>
      <c r="R4" s="34">
        <f>P4*Projections!$B$48</f>
        <v/>
      </c>
      <c r="S4" s="34">
        <f>R4</f>
        <v/>
      </c>
      <c r="T4" s="37" t="n"/>
      <c r="U4" s="37" t="n"/>
    </row>
    <row r="5">
      <c r="A5" s="28" t="n">
        <v>2</v>
      </c>
      <c r="B5" s="29" t="inlineStr">
        <is>
          <t>Week 2</t>
        </is>
      </c>
      <c r="C5" s="30" t="n"/>
      <c r="D5" s="31" t="n"/>
      <c r="E5" s="32">
        <f>IF(D5=0,0,C5/D5)</f>
        <v/>
      </c>
      <c r="F5" s="31" t="n"/>
      <c r="G5" s="33">
        <f>IF(D5=0,0,F5/D5)</f>
        <v/>
      </c>
      <c r="H5" s="31" t="n"/>
      <c r="I5" s="33">
        <f>IF(F5=0,0,H5/F5)</f>
        <v/>
      </c>
      <c r="J5" s="34">
        <f>H5*'Pricing &amp; Budget'!$C$7*Currency!$B$5*(1-'Pricing &amp; Budget'!$C$18)</f>
        <v/>
      </c>
      <c r="K5" s="31" t="n"/>
      <c r="L5" s="31" t="n"/>
      <c r="M5" s="31" t="n"/>
      <c r="N5" s="35">
        <f>K5+L5+M5</f>
        <v/>
      </c>
      <c r="O5" s="36">
        <f>N5*'Conversion Rates'!$C$12</f>
        <v/>
      </c>
      <c r="P5" s="31" t="n"/>
      <c r="Q5" s="33">
        <f>IF(O5=0,0,P5/O5)</f>
        <v/>
      </c>
      <c r="R5" s="34">
        <f>P5*Projections!$B$48</f>
        <v/>
      </c>
      <c r="S5" s="34">
        <f>S4+R5</f>
        <v/>
      </c>
      <c r="T5" s="37" t="n"/>
      <c r="U5" s="37" t="n"/>
    </row>
    <row r="6">
      <c r="A6" s="28" t="n">
        <v>3</v>
      </c>
      <c r="B6" s="29" t="inlineStr">
        <is>
          <t>Week 3</t>
        </is>
      </c>
      <c r="C6" s="30" t="n"/>
      <c r="D6" s="31" t="n"/>
      <c r="E6" s="32">
        <f>IF(D6=0,0,C6/D6)</f>
        <v/>
      </c>
      <c r="F6" s="31" t="n"/>
      <c r="G6" s="33">
        <f>IF(D6=0,0,F6/D6)</f>
        <v/>
      </c>
      <c r="H6" s="31" t="n"/>
      <c r="I6" s="33">
        <f>IF(F6=0,0,H6/F6)</f>
        <v/>
      </c>
      <c r="J6" s="34">
        <f>H6*'Pricing &amp; Budget'!$C$7*Currency!$B$5*(1-'Pricing &amp; Budget'!$C$18)</f>
        <v/>
      </c>
      <c r="K6" s="31" t="n"/>
      <c r="L6" s="31" t="n"/>
      <c r="M6" s="31" t="n"/>
      <c r="N6" s="35">
        <f>K6+L6+M6</f>
        <v/>
      </c>
      <c r="O6" s="36">
        <f>N6*'Conversion Rates'!$C$12</f>
        <v/>
      </c>
      <c r="P6" s="31" t="n"/>
      <c r="Q6" s="33">
        <f>IF(O6=0,0,P6/O6)</f>
        <v/>
      </c>
      <c r="R6" s="34">
        <f>P6*Projections!$B$48</f>
        <v/>
      </c>
      <c r="S6" s="34">
        <f>S5+R6</f>
        <v/>
      </c>
      <c r="T6" s="37" t="n"/>
      <c r="U6" s="37" t="n"/>
    </row>
    <row r="7">
      <c r="A7" s="28" t="n">
        <v>4</v>
      </c>
      <c r="B7" s="29" t="inlineStr">
        <is>
          <t>Week 4</t>
        </is>
      </c>
      <c r="C7" s="30" t="n"/>
      <c r="D7" s="31" t="n"/>
      <c r="E7" s="32">
        <f>IF(D7=0,0,C7/D7)</f>
        <v/>
      </c>
      <c r="F7" s="31" t="n"/>
      <c r="G7" s="33">
        <f>IF(D7=0,0,F7/D7)</f>
        <v/>
      </c>
      <c r="H7" s="31" t="n"/>
      <c r="I7" s="33">
        <f>IF(F7=0,0,H7/F7)</f>
        <v/>
      </c>
      <c r="J7" s="34">
        <f>H7*'Pricing &amp; Budget'!$C$7*Currency!$B$5*(1-'Pricing &amp; Budget'!$C$18)</f>
        <v/>
      </c>
      <c r="K7" s="31" t="n"/>
      <c r="L7" s="31" t="n"/>
      <c r="M7" s="31" t="n"/>
      <c r="N7" s="35">
        <f>K7+L7+M7</f>
        <v/>
      </c>
      <c r="O7" s="36">
        <f>N7*'Conversion Rates'!$C$12</f>
        <v/>
      </c>
      <c r="P7" s="31" t="n"/>
      <c r="Q7" s="33">
        <f>IF(O7=0,0,P7/O7)</f>
        <v/>
      </c>
      <c r="R7" s="34">
        <f>P7*Projections!$B$48</f>
        <v/>
      </c>
      <c r="S7" s="34">
        <f>S6+R7</f>
        <v/>
      </c>
      <c r="T7" s="37" t="n"/>
      <c r="U7" s="37" t="n"/>
    </row>
    <row r="9">
      <c r="A9" s="38" t="inlineStr">
        <is>
          <t>Legend:</t>
        </is>
      </c>
      <c r="B9" s="39" t="inlineStr">
        <is>
          <t>Yellow = type your data here</t>
        </is>
      </c>
      <c r="E9" s="40" t="inlineStr">
        <is>
          <t>Gray = auto-calculated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0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9" customWidth="1" min="19" max="19"/>
    <col width="12" customWidth="1" min="20" max="20"/>
    <col width="13" customWidth="1" min="21" max="21"/>
    <col width="12" customWidth="1" min="22" max="22"/>
    <col width="24" customWidth="1" min="23" max="23"/>
  </cols>
  <sheetData>
    <row r="1" ht="22" customHeight="1">
      <c r="A1" s="9" t="inlineStr">
        <is>
          <t>PHASE 2 TRACKER: Direct Response + Hammer Them</t>
        </is>
      </c>
    </row>
    <row r="3" ht="32" customHeight="1">
      <c r="A3" s="27" t="inlineStr">
        <is>
          <t>Week #</t>
        </is>
      </c>
      <c r="B3" s="27" t="inlineStr">
        <is>
          <t>Week Starting</t>
        </is>
      </c>
      <c r="C3" s="27" t="inlineStr">
        <is>
          <t>DR Budget ($)</t>
        </is>
      </c>
      <c r="D3" s="27" t="inlineStr">
        <is>
          <t>HT Budget ($)</t>
        </is>
      </c>
      <c r="E3" s="27" t="inlineStr">
        <is>
          <t>Registrations</t>
        </is>
      </c>
      <c r="F3" s="27" t="inlineStr">
        <is>
          <t>CPL ($)</t>
        </is>
      </c>
      <c r="G3" s="27" t="inlineStr">
        <is>
          <t>Webinar Attendees</t>
        </is>
      </c>
      <c r="H3" s="27" t="inlineStr">
        <is>
          <t>Show Rate %</t>
        </is>
      </c>
      <c r="I3" s="27" t="inlineStr">
        <is>
          <t>Low-Ticket Sales</t>
        </is>
      </c>
      <c r="J3" s="27" t="inlineStr">
        <is>
          <t>LT Conv %</t>
        </is>
      </c>
      <c r="K3" s="27" t="inlineStr">
        <is>
          <t>LT Revenue (CAD)</t>
        </is>
      </c>
      <c r="L3" s="27" t="inlineStr">
        <is>
          <t>Calls - Thank You Page</t>
        </is>
      </c>
      <c r="M3" s="27" t="inlineStr">
        <is>
          <t>Calls - Email/Phone</t>
        </is>
      </c>
      <c r="N3" s="27" t="inlineStr">
        <is>
          <t>Calls - Post-LTO</t>
        </is>
      </c>
      <c r="O3" s="27" t="inlineStr">
        <is>
          <t>Calls - Direct HT</t>
        </is>
      </c>
      <c r="P3" s="27" t="inlineStr">
        <is>
          <t>Total Calls Booked</t>
        </is>
      </c>
      <c r="Q3" s="27" t="inlineStr">
        <is>
          <t>Calls Held</t>
        </is>
      </c>
      <c r="R3" s="27" t="inlineStr">
        <is>
          <t>Closes</t>
        </is>
      </c>
      <c r="S3" s="27" t="inlineStr">
        <is>
          <t>Close Rate %</t>
        </is>
      </c>
      <c r="T3" s="27" t="inlineStr">
        <is>
          <t>Cash Collected M1 ($)</t>
        </is>
      </c>
      <c r="U3" s="27" t="inlineStr">
        <is>
          <t>Cumulative Cash ($)</t>
        </is>
      </c>
      <c r="V3" s="27" t="inlineStr">
        <is>
          <t>Status</t>
        </is>
      </c>
      <c r="W3" s="27" t="inlineStr">
        <is>
          <t>Notes</t>
        </is>
      </c>
    </row>
    <row r="4">
      <c r="A4" s="28" t="n">
        <v>1</v>
      </c>
      <c r="B4" s="29" t="inlineStr">
        <is>
          <t>Week 1</t>
        </is>
      </c>
      <c r="C4" s="30" t="n"/>
      <c r="D4" s="30" t="n"/>
      <c r="E4" s="31" t="n"/>
      <c r="F4" s="32">
        <f>IF(E4=0,0,(C4+D4)/E4)</f>
        <v/>
      </c>
      <c r="G4" s="31" t="n"/>
      <c r="H4" s="33">
        <f>IF(E4=0,0,G4/E4)</f>
        <v/>
      </c>
      <c r="I4" s="31" t="n"/>
      <c r="J4" s="33">
        <f>IF(G4=0,0,I4/G4)</f>
        <v/>
      </c>
      <c r="K4" s="34">
        <f>I4*'Pricing &amp; Budget'!$D$7*Currency!$B$5*(1-'Pricing &amp; Budget'!$D$18)</f>
        <v/>
      </c>
      <c r="L4" s="31" t="n"/>
      <c r="M4" s="31" t="n"/>
      <c r="N4" s="31" t="n"/>
      <c r="O4" s="31" t="n"/>
      <c r="P4" s="35">
        <f>L4+M4+N4+O4</f>
        <v/>
      </c>
      <c r="Q4" s="36">
        <f>P4*'Conversion Rates'!$D$12</f>
        <v/>
      </c>
      <c r="R4" s="31" t="n"/>
      <c r="S4" s="33">
        <f>IF(Q4=0,0,R4/Q4)</f>
        <v/>
      </c>
      <c r="T4" s="34">
        <f>R4*Projections!$C$48</f>
        <v/>
      </c>
      <c r="U4" s="34">
        <f>T4</f>
        <v/>
      </c>
      <c r="V4" s="37" t="n"/>
      <c r="W4" s="37" t="n"/>
    </row>
    <row r="5">
      <c r="A5" s="28" t="n">
        <v>2</v>
      </c>
      <c r="B5" s="29" t="inlineStr">
        <is>
          <t>Week 2</t>
        </is>
      </c>
      <c r="C5" s="30" t="n"/>
      <c r="D5" s="30" t="n"/>
      <c r="E5" s="31" t="n"/>
      <c r="F5" s="32">
        <f>IF(E5=0,0,(C5+D5)/E5)</f>
        <v/>
      </c>
      <c r="G5" s="31" t="n"/>
      <c r="H5" s="33">
        <f>IF(E5=0,0,G5/E5)</f>
        <v/>
      </c>
      <c r="I5" s="31" t="n"/>
      <c r="J5" s="33">
        <f>IF(G5=0,0,I5/G5)</f>
        <v/>
      </c>
      <c r="K5" s="34">
        <f>I5*'Pricing &amp; Budget'!$D$7*Currency!$B$5*(1-'Pricing &amp; Budget'!$D$18)</f>
        <v/>
      </c>
      <c r="L5" s="31" t="n"/>
      <c r="M5" s="31" t="n"/>
      <c r="N5" s="31" t="n"/>
      <c r="O5" s="31" t="n"/>
      <c r="P5" s="35">
        <f>L5+M5+N5+O5</f>
        <v/>
      </c>
      <c r="Q5" s="36">
        <f>P5*'Conversion Rates'!$D$12</f>
        <v/>
      </c>
      <c r="R5" s="31" t="n"/>
      <c r="S5" s="33">
        <f>IF(Q5=0,0,R5/Q5)</f>
        <v/>
      </c>
      <c r="T5" s="34">
        <f>R5*Projections!$C$48</f>
        <v/>
      </c>
      <c r="U5" s="34">
        <f>U4+T5</f>
        <v/>
      </c>
      <c r="V5" s="37" t="n"/>
      <c r="W5" s="37" t="n"/>
    </row>
    <row r="6">
      <c r="A6" s="28" t="n">
        <v>3</v>
      </c>
      <c r="B6" s="29" t="inlineStr">
        <is>
          <t>Week 3</t>
        </is>
      </c>
      <c r="C6" s="30" t="n"/>
      <c r="D6" s="30" t="n"/>
      <c r="E6" s="31" t="n"/>
      <c r="F6" s="32">
        <f>IF(E6=0,0,(C6+D6)/E6)</f>
        <v/>
      </c>
      <c r="G6" s="31" t="n"/>
      <c r="H6" s="33">
        <f>IF(E6=0,0,G6/E6)</f>
        <v/>
      </c>
      <c r="I6" s="31" t="n"/>
      <c r="J6" s="33">
        <f>IF(G6=0,0,I6/G6)</f>
        <v/>
      </c>
      <c r="K6" s="34">
        <f>I6*'Pricing &amp; Budget'!$D$7*Currency!$B$5*(1-'Pricing &amp; Budget'!$D$18)</f>
        <v/>
      </c>
      <c r="L6" s="31" t="n"/>
      <c r="M6" s="31" t="n"/>
      <c r="N6" s="31" t="n"/>
      <c r="O6" s="31" t="n"/>
      <c r="P6" s="35">
        <f>L6+M6+N6+O6</f>
        <v/>
      </c>
      <c r="Q6" s="36">
        <f>P6*'Conversion Rates'!$D$12</f>
        <v/>
      </c>
      <c r="R6" s="31" t="n"/>
      <c r="S6" s="33">
        <f>IF(Q6=0,0,R6/Q6)</f>
        <v/>
      </c>
      <c r="T6" s="34">
        <f>R6*Projections!$C$48</f>
        <v/>
      </c>
      <c r="U6" s="34">
        <f>U5+T6</f>
        <v/>
      </c>
      <c r="V6" s="37" t="n"/>
      <c r="W6" s="37" t="n"/>
    </row>
    <row r="7">
      <c r="A7" s="28" t="n">
        <v>4</v>
      </c>
      <c r="B7" s="29" t="inlineStr">
        <is>
          <t>Week 4</t>
        </is>
      </c>
      <c r="C7" s="30" t="n"/>
      <c r="D7" s="30" t="n"/>
      <c r="E7" s="31" t="n"/>
      <c r="F7" s="32">
        <f>IF(E7=0,0,(C7+D7)/E7)</f>
        <v/>
      </c>
      <c r="G7" s="31" t="n"/>
      <c r="H7" s="33">
        <f>IF(E7=0,0,G7/E7)</f>
        <v/>
      </c>
      <c r="I7" s="31" t="n"/>
      <c r="J7" s="33">
        <f>IF(G7=0,0,I7/G7)</f>
        <v/>
      </c>
      <c r="K7" s="34">
        <f>I7*'Pricing &amp; Budget'!$D$7*Currency!$B$5*(1-'Pricing &amp; Budget'!$D$18)</f>
        <v/>
      </c>
      <c r="L7" s="31" t="n"/>
      <c r="M7" s="31" t="n"/>
      <c r="N7" s="31" t="n"/>
      <c r="O7" s="31" t="n"/>
      <c r="P7" s="35">
        <f>L7+M7+N7+O7</f>
        <v/>
      </c>
      <c r="Q7" s="36">
        <f>P7*'Conversion Rates'!$D$12</f>
        <v/>
      </c>
      <c r="R7" s="31" t="n"/>
      <c r="S7" s="33">
        <f>IF(Q7=0,0,R7/Q7)</f>
        <v/>
      </c>
      <c r="T7" s="34">
        <f>R7*Projections!$C$48</f>
        <v/>
      </c>
      <c r="U7" s="34">
        <f>U6+T7</f>
        <v/>
      </c>
      <c r="V7" s="37" t="n"/>
      <c r="W7" s="37" t="n"/>
    </row>
    <row r="9">
      <c r="A9" s="38" t="inlineStr">
        <is>
          <t>Legend:</t>
        </is>
      </c>
      <c r="B9" s="39" t="inlineStr">
        <is>
          <t>Yellow = type your data here</t>
        </is>
      </c>
      <c r="E9" s="40" t="inlineStr">
        <is>
          <t>Gray = auto-calculated</t>
        </is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KEY INSIGHTS: Why Phase 2 (Hammer Them) Matters</t>
        </is>
      </c>
    </row>
    <row r="3">
      <c r="A3" t="inlineStr">
        <is>
          <t>PHASE 1: Direct Response Only</t>
        </is>
      </c>
    </row>
    <row r="4">
      <c r="A4" t="inlineStr">
        <is>
          <t>Budget</t>
        </is>
      </c>
      <c r="B4" t="inlineStr">
        <is>
          <t>$10k/month all to DR</t>
        </is>
      </c>
    </row>
    <row r="5">
      <c r="A5" t="inlineStr">
        <is>
          <t>Registrations</t>
        </is>
      </c>
      <c r="B5" t="inlineStr">
        <is>
          <t>450/month at $10 CPL (volume optimized)</t>
        </is>
      </c>
    </row>
    <row r="6">
      <c r="A6" t="inlineStr">
        <is>
          <t>Show Rate</t>
        </is>
      </c>
      <c r="B6" t="inlineStr">
        <is>
          <t>30% (no warming)</t>
        </is>
      </c>
    </row>
    <row r="7">
      <c r="A7" t="inlineStr">
        <is>
          <t>Attendees</t>
        </is>
      </c>
      <c r="B7" t="inlineStr">
        <is>
          <t>135/month</t>
        </is>
      </c>
    </row>
    <row r="8">
      <c r="A8" t="inlineStr">
        <is>
          <t>Booked Calls</t>
        </is>
      </c>
      <c r="B8" t="inlineStr">
        <is>
          <t>54-85/month (from webinar only)</t>
        </is>
      </c>
    </row>
    <row r="9">
      <c r="A9" t="inlineStr">
        <is>
          <t>Closes</t>
        </is>
      </c>
      <c r="B9" t="inlineStr">
        <is>
          <t>11-17/month</t>
        </is>
      </c>
    </row>
    <row r="10">
      <c r="A10" t="inlineStr">
        <is>
          <t>New MRR</t>
        </is>
      </c>
      <c r="B10" t="inlineStr">
        <is>
          <t>$22-34k/month</t>
        </is>
      </c>
    </row>
    <row r="11">
      <c r="A11" t="inlineStr">
        <is>
          <t>New LTV</t>
        </is>
      </c>
      <c r="B11" t="inlineStr">
        <is>
          <t>$300-460k/month</t>
        </is>
      </c>
    </row>
    <row r="13">
      <c r="A13" t="inlineStr">
        <is>
          <t>PHASE 2: DR + Hammer Them</t>
        </is>
      </c>
    </row>
    <row r="14">
      <c r="A14" t="inlineStr">
        <is>
          <t>Budget</t>
        </is>
      </c>
      <c r="B14" t="inlineStr">
        <is>
          <t>$8k DR + $2k HT = $10k total (same budget)</t>
        </is>
      </c>
    </row>
    <row r="15">
      <c r="A15" t="inlineStr">
        <is>
          <t>Registrations</t>
        </is>
      </c>
      <c r="B15" t="inlineStr">
        <is>
          <t>400/month at $20 CPL (quality optimized)</t>
        </is>
      </c>
    </row>
    <row r="16">
      <c r="A16" t="inlineStr">
        <is>
          <t>Show Rate</t>
        </is>
      </c>
      <c r="B16" t="inlineStr">
        <is>
          <t>50% (warmed by Hammer Them)</t>
        </is>
      </c>
    </row>
    <row r="17">
      <c r="A17" t="inlineStr">
        <is>
          <t>Attendees</t>
        </is>
      </c>
      <c r="B17" t="inlineStr">
        <is>
          <t>200/month (+48% vs Phase 1)</t>
        </is>
      </c>
    </row>
    <row r="18">
      <c r="A18" t="inlineStr">
        <is>
          <t>Booked Calls</t>
        </is>
      </c>
      <c r="B18" t="inlineStr">
        <is>
          <t>68-108/month (webinar + direct HT)</t>
        </is>
      </c>
    </row>
    <row r="19">
      <c r="A19" t="inlineStr">
        <is>
          <t>Closes</t>
        </is>
      </c>
      <c r="B19" t="inlineStr">
        <is>
          <t>14-22/month (+27% vs Phase 1)</t>
        </is>
      </c>
    </row>
    <row r="20">
      <c r="A20" t="inlineStr">
        <is>
          <t>New MRR</t>
        </is>
      </c>
      <c r="B20" t="inlineStr">
        <is>
          <t>$28-44k/month (+27% vs Phase 1)</t>
        </is>
      </c>
    </row>
    <row r="21">
      <c r="A21" t="inlineStr">
        <is>
          <t>New LTV</t>
        </is>
      </c>
      <c r="B21" t="inlineStr">
        <is>
          <t>$380-600k/month (+27% vs Phase 1)</t>
        </is>
      </c>
    </row>
    <row r="23">
      <c r="A23" s="4" t="inlineStr">
        <is>
          <t>THE HAMMER THEM ADVANTAGE</t>
        </is>
      </c>
    </row>
    <row r="24">
      <c r="A24" t="inlineStr">
        <is>
          <t>1. Higher Show Rate</t>
        </is>
      </c>
      <c r="B24" t="inlineStr">
        <is>
          <t>Hammer Them warms registrants → 50% vs 30%</t>
        </is>
      </c>
    </row>
    <row r="25">
      <c r="A25" t="inlineStr">
        <is>
          <t>2. Direct Calls</t>
        </is>
      </c>
      <c r="B25" t="inlineStr">
        <is>
          <t>People book calls from content without attending webinar</t>
        </is>
      </c>
    </row>
    <row r="26">
      <c r="A26" t="inlineStr">
        <is>
          <t>3. Better Qualified Leads</t>
        </is>
      </c>
      <c r="B26" t="inlineStr">
        <is>
          <t>DR targets quality over volume → higher close rate</t>
        </is>
      </c>
    </row>
    <row r="27">
      <c r="A27" t="inlineStr">
        <is>
          <t>4. Same Budget</t>
        </is>
      </c>
      <c r="B27" t="inlineStr">
        <is>
          <t>No additional spend, just reallocation</t>
        </is>
      </c>
    </row>
    <row r="28">
      <c r="A28" t="inlineStr">
        <is>
          <t>5. Material Impact</t>
        </is>
      </c>
      <c r="B28" t="inlineStr">
        <is>
          <t>+27% closes, +27% MRR, +27% LTV on same $10k budget</t>
        </is>
      </c>
    </row>
  </sheetData>
  <mergeCells count="2"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2026-05-24T00:31:39Z</dcterms:created>
  <dcterms:modified xmlns:dcterms="http://purl.org/dc/terms/" xmlns:xsi="http://www.w3.org/2001/XMLSchema-instance" xsi:type="dcterms:W3CDTF">2026-05-24T01:48:26Z</dcterms:modified>
</cp:coreProperties>
</file>